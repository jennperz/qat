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0650" yWindow="270" windowWidth="10155" windowHeight="8415" tabRatio="836" activeTab="7"/>
  </bookViews>
  <sheets>
    <sheet name="Instructions" sheetId="1" r:id="rId1"/>
    <sheet name="Cost_Analysis" sheetId="8" r:id="rId2"/>
    <sheet name="Quantitative_Benefit_Analysis" sheetId="3" r:id="rId3"/>
    <sheet name="Evaluation_Factors" sheetId="4" r:id="rId4"/>
    <sheet name="Cost-Benefit_Summary" sheetId="5" r:id="rId5"/>
    <sheet name="Financial_Analysis" sheetId="6" r:id="rId6"/>
    <sheet name="Selection_Results" sheetId="7" r:id="rId7"/>
    <sheet name="Cost_Mapping" sheetId="9" r:id="rId8"/>
    <sheet name="Additional_Agency_Information" sheetId="10" r:id="rId9"/>
    <sheet name="Version History" sheetId="11" r:id="rId10"/>
  </sheets>
  <externalReferences>
    <externalReference r:id="rId11"/>
  </externalReferences>
  <definedNames>
    <definedName name="Budget01" localSheetId="4">'Cost-Benefit_Summary'!#REF!</definedName>
    <definedName name="Budget02" localSheetId="4">'Cost-Benefit_Summary'!#REF!</definedName>
    <definedName name="Budget03" localSheetId="4">'Cost-Benefit_Summary'!#REF!</definedName>
    <definedName name="Budget04" localSheetId="4">'Cost-Benefit_Summary'!#REF!</definedName>
    <definedName name="Budget05" localSheetId="4">'Cost-Benefit_Summary'!#REF!</definedName>
    <definedName name="Budget06" localSheetId="4">'Cost-Benefit_Summary'!#REF!</definedName>
    <definedName name="Budget07" localSheetId="4">'Cost-Benefit_Summary'!#REF!</definedName>
    <definedName name="Budget08" localSheetId="4">'Cost-Benefit_Summary'!#REF!</definedName>
    <definedName name="Budget09" localSheetId="4">'Cost-Benefit_Summary'!#REF!</definedName>
    <definedName name="Budget10" localSheetId="4">'Cost-Benefit_Summary'!#REF!</definedName>
    <definedName name="Budget11" localSheetId="4">'Cost-Benefit_Summary'!#REF!</definedName>
    <definedName name="Budget12" localSheetId="4">'Cost-Benefit_Summary'!#REF!</definedName>
    <definedName name="Budget13" localSheetId="4">'Cost-Benefit_Summary'!#REF!</definedName>
    <definedName name="Budget14" localSheetId="4">'Cost-Benefit_Summary'!#REF!</definedName>
    <definedName name="Budget15" localSheetId="4">'Cost-Benefit_Summary'!#REF!</definedName>
    <definedName name="Budget16" localSheetId="4">'Cost-Benefit_Summary'!#REF!</definedName>
    <definedName name="Budget17" localSheetId="4">'Cost-Benefit_Summary'!#REF!</definedName>
    <definedName name="Budget18" localSheetId="4">'Cost-Benefit_Summary'!$A$9</definedName>
    <definedName name="Budget19" localSheetId="4">'Cost-Benefit_Summary'!#REF!</definedName>
    <definedName name="Budget20" localSheetId="4">'Cost-Benefit_Summary'!#REF!</definedName>
    <definedName name="Budget21" localSheetId="4">'Cost-Benefit_Summary'!#REF!</definedName>
    <definedName name="Budget22" localSheetId="4">'Cost-Benefit_Summary'!#REF!</definedName>
    <definedName name="Budget23" localSheetId="4">'Cost-Benefit_Summary'!#REF!</definedName>
    <definedName name="Budget24" localSheetId="4">'Cost-Benefit_Summary'!#REF!</definedName>
    <definedName name="Budget25" localSheetId="4">'Cost-Benefit_Summary'!#REF!</definedName>
    <definedName name="Budget26" localSheetId="4">'Cost-Benefit_Summary'!#REF!</definedName>
    <definedName name="Budget27" localSheetId="4">'Cost-Benefit_Summary'!#REF!</definedName>
    <definedName name="Budget28" localSheetId="4">'Cost-Benefit_Summary'!#REF!</definedName>
    <definedName name="Budget29" localSheetId="4">'Cost-Benefit_Summary'!#REF!</definedName>
    <definedName name="Budget30" localSheetId="4">'Cost-Benefit_Summary'!#REF!</definedName>
    <definedName name="Budget31" localSheetId="4">'Cost-Benefit_Summary'!#REF!</definedName>
    <definedName name="Budget32" localSheetId="4">'Cost-Benefit_Summary'!#REF!</definedName>
    <definedName name="Budget33" localSheetId="4">'Cost-Benefit_Summary'!#REF!</definedName>
    <definedName name="Budget34" localSheetId="4">'Cost-Benefit_Summary'!#REF!</definedName>
    <definedName name="Budget35" localSheetId="4">'Cost-Benefit_Summary'!#REF!</definedName>
    <definedName name="Budget36" localSheetId="4">'Cost-Benefit_Summary'!#REF!</definedName>
    <definedName name="Budget37" localSheetId="4">'Cost-Benefit_Summary'!#REF!</definedName>
    <definedName name="Budget38" localSheetId="4">'Cost-Benefit_Summary'!#REF!</definedName>
    <definedName name="Budget39" localSheetId="4">'Cost-Benefit_Summary'!#REF!</definedName>
    <definedName name="Budget40" localSheetId="4">'Cost-Benefit_Summary'!#REF!</definedName>
    <definedName name="Budget41" localSheetId="4">'Cost-Benefit_Summary'!#REF!</definedName>
    <definedName name="Budget42" localSheetId="4">'Cost-Benefit_Summary'!#REF!</definedName>
    <definedName name="Budget43" localSheetId="4">'Cost-Benefit_Summary'!#REF!</definedName>
    <definedName name="Budget44" localSheetId="4">'Cost-Benefit_Summary'!#REF!</definedName>
    <definedName name="Budget45" localSheetId="4">'Cost-Benefit_Summary'!#REF!</definedName>
    <definedName name="Budget46" localSheetId="4">'Cost-Benefit_Summary'!#REF!</definedName>
    <definedName name="Budget47" localSheetId="4">'Cost-Benefit_Summary'!#REF!</definedName>
    <definedName name="Budget48" localSheetId="4">'Cost-Benefit_Summary'!#REF!</definedName>
    <definedName name="Budget49" localSheetId="4">'Cost-Benefit_Summary'!#REF!</definedName>
    <definedName name="Budget50" localSheetId="4">'Cost-Benefit_Summary'!#REF!</definedName>
    <definedName name="Budget51" localSheetId="4">'Cost-Benefit_Summary'!$A$55</definedName>
    <definedName name="Budget52" localSheetId="4">'Cost-Benefit_Summary'!#REF!</definedName>
    <definedName name="Budget53" localSheetId="4">'Cost-Benefit_Summary'!#REF!</definedName>
    <definedName name="Budget54" localSheetId="4">'Cost-Benefit_Summary'!#REF!</definedName>
    <definedName name="Budget55" localSheetId="4">'Cost-Benefit_Summary'!#REF!</definedName>
    <definedName name="Budget56" localSheetId="4">'Cost-Benefit_Summary'!$A$59</definedName>
    <definedName name="Budget57" localSheetId="4">'Cost-Benefit_Summary'!#REF!</definedName>
    <definedName name="Budget58" localSheetId="4">'Cost-Benefit_Summary'!#REF!</definedName>
    <definedName name="Budget59" localSheetId="4">'Cost-Benefit_Summary'!#REF!</definedName>
    <definedName name="Budget60" localSheetId="4">'Cost-Benefit_Summary'!#REF!</definedName>
    <definedName name="Budget61" localSheetId="4">'Cost-Benefit_Summary'!#REF!</definedName>
    <definedName name="Budget62" localSheetId="4">'Cost-Benefit_Summary'!#REF!</definedName>
    <definedName name="Budget63" localSheetId="4">'Cost-Benefit_Summary'!#REF!</definedName>
    <definedName name="Budget64" localSheetId="4">'Cost-Benefit_Summary'!#REF!</definedName>
    <definedName name="Budget65" localSheetId="4">'Cost-Benefit_Summary'!#REF!</definedName>
    <definedName name="Budget66" localSheetId="4">'Cost-Benefit_Summary'!#REF!</definedName>
    <definedName name="Budget67" localSheetId="4">'Cost-Benefit_Summary'!#REF!</definedName>
    <definedName name="Budget68" localSheetId="4">'Cost-Benefit_Summary'!#REF!</definedName>
    <definedName name="Budget69" localSheetId="4">'Cost-Benefit_Summary'!#REF!</definedName>
    <definedName name="Budget70" localSheetId="4">'Cost-Benefit_Summary'!#REF!</definedName>
    <definedName name="Budget71" localSheetId="4">'Cost-Benefit_Summary'!#REF!</definedName>
    <definedName name="Budget72" localSheetId="4">'Cost-Benefit_Summary'!#REF!</definedName>
    <definedName name="Budget73" localSheetId="4">'Cost-Benefit_Summary'!#REF!</definedName>
    <definedName name="Budget74" localSheetId="4">'Cost-Benefit_Summary'!#REF!</definedName>
    <definedName name="Budget75" localSheetId="4">'Cost-Benefit_Summary'!#REF!</definedName>
    <definedName name="Budget76" localSheetId="4">'Cost-Benefit_Summary'!#REF!</definedName>
    <definedName name="Budget77" localSheetId="4">'Cost-Benefit_Summary'!#REF!</definedName>
    <definedName name="Budget78" localSheetId="4">'Cost-Benefit_Summary'!#REF!</definedName>
    <definedName name="Budget79" localSheetId="4">'Cost-Benefit_Summary'!#REF!</definedName>
    <definedName name="Budget80" localSheetId="4">'Cost-Benefit_Summary'!#REF!</definedName>
    <definedName name="Budget81" localSheetId="4">'Cost-Benefit_Summary'!#REF!</definedName>
    <definedName name="CurrencySymbol">[1]Introduction!$J$46</definedName>
    <definedName name="interest">'Cost-Benefit_Summary'!$I$65</definedName>
    <definedName name="Internal_Rate_of_Return">"guess"</definedName>
    <definedName name="Payback">'Cost-Benefit_Summary'!#REF!</definedName>
    <definedName name="Payback_C">Financial_Analysis!$C$27:$L$28</definedName>
    <definedName name="Payback_G">Financial_Analysis!$C$12:$L$13</definedName>
    <definedName name="_xlnm.Print_Area" localSheetId="8">Additional_Agency_Information!$A$1:$U$40</definedName>
    <definedName name="_xlnm.Print_Area" localSheetId="4">'Cost-Benefit_Summary'!$A$1:$N$82</definedName>
    <definedName name="_xlnm.Print_Area" localSheetId="3">Evaluation_Factors!$A$1:$H$76</definedName>
    <definedName name="_xlnm.Print_Area" localSheetId="5">Financial_Analysis!$A$1:$N$52</definedName>
    <definedName name="_xlnm.Print_Area" localSheetId="0">Instructions!$A$1:$D$166</definedName>
    <definedName name="_xlnm.Print_Area" localSheetId="2">Quantitative_Benefit_Analysis!$A$1:$O$78</definedName>
    <definedName name="_xlnm.Print_Titles" localSheetId="1">Cost_Analysis!$1:$3</definedName>
    <definedName name="_xlnm.Print_Titles" localSheetId="7">Cost_Mapping!$A:$B,Cost_Mapping!$1:$5</definedName>
    <definedName name="_xlnm.Print_Titles" localSheetId="3">Evaluation_Factors!$4:$4</definedName>
    <definedName name="_xlnm.Print_Titles" localSheetId="0">Instructions!$19:$20</definedName>
    <definedName name="Z_4F1DA828_56A9_4F85_92B4_9F65C862495B_.wvu.Cols" localSheetId="3" hidden="1">Evaluation_Factors!$D:$G</definedName>
    <definedName name="Z_4F1DA828_56A9_4F85_92B4_9F65C862495B_.wvu.PrintArea" localSheetId="4" hidden="1">'Cost-Benefit_Summary'!$A$1:$N$82</definedName>
    <definedName name="Z_4F1DA828_56A9_4F85_92B4_9F65C862495B_.wvu.PrintArea" localSheetId="3" hidden="1">Evaluation_Factors!$A$1:$H$76</definedName>
    <definedName name="Z_4F1DA828_56A9_4F85_92B4_9F65C862495B_.wvu.PrintArea" localSheetId="5" hidden="1">Financial_Analysis!$A$1:$N$52</definedName>
    <definedName name="Z_4F1DA828_56A9_4F85_92B4_9F65C862495B_.wvu.PrintArea" localSheetId="0" hidden="1">Instructions!$A$1:$D$147</definedName>
    <definedName name="Z_4F1DA828_56A9_4F85_92B4_9F65C862495B_.wvu.PrintArea" localSheetId="2" hidden="1">Quantitative_Benefit_Analysis!$A$1:$O$78</definedName>
    <definedName name="Z_4F1DA828_56A9_4F85_92B4_9F65C862495B_.wvu.PrintTitles" localSheetId="3" hidden="1">Evaluation_Factors!$4:$4</definedName>
    <definedName name="Z_4F1DA828_56A9_4F85_92B4_9F65C862495B_.wvu.PrintTitles" localSheetId="0" hidden="1">Instructions!$19:$20</definedName>
    <definedName name="Z_4F1DA828_56A9_4F85_92B4_9F65C862495B_.wvu.Rows" localSheetId="5" hidden="1">Financial_Analysis!$10:$13,Financial_Analysis!$23:$30</definedName>
    <definedName name="Z_59DE3EEA_A46C_4C2D_9E05_9E8B3F6321CD_.wvu.Cols" localSheetId="3" hidden="1">Evaluation_Factors!$D:$G</definedName>
    <definedName name="Z_59DE3EEA_A46C_4C2D_9E05_9E8B3F6321CD_.wvu.PrintArea" localSheetId="3" hidden="1">Evaluation_Factors!$A$2:$C$73</definedName>
    <definedName name="Z_7AC71C8E_3F0A_447A_859A_02DD2BAED197_.wvu.Cols" localSheetId="3" hidden="1">Evaluation_Factors!$D:$G</definedName>
    <definedName name="Z_7AC71C8E_3F0A_447A_859A_02DD2BAED197_.wvu.PrintArea" localSheetId="4" hidden="1">'Cost-Benefit_Summary'!$A$1:$N$82</definedName>
    <definedName name="Z_7AC71C8E_3F0A_447A_859A_02DD2BAED197_.wvu.PrintArea" localSheetId="3" hidden="1">Evaluation_Factors!$A$1:$H$76</definedName>
    <definedName name="Z_7AC71C8E_3F0A_447A_859A_02DD2BAED197_.wvu.PrintArea" localSheetId="5" hidden="1">Financial_Analysis!$A$1:$N$52</definedName>
    <definedName name="Z_7AC71C8E_3F0A_447A_859A_02DD2BAED197_.wvu.PrintArea" localSheetId="0" hidden="1">Instructions!$A$1:$D$147</definedName>
    <definedName name="Z_7AC71C8E_3F0A_447A_859A_02DD2BAED197_.wvu.PrintArea" localSheetId="2" hidden="1">Quantitative_Benefit_Analysis!$A$1:$O$78</definedName>
    <definedName name="Z_7AC71C8E_3F0A_447A_859A_02DD2BAED197_.wvu.PrintTitles" localSheetId="3" hidden="1">Evaluation_Factors!$4:$4</definedName>
    <definedName name="Z_7AC71C8E_3F0A_447A_859A_02DD2BAED197_.wvu.PrintTitles" localSheetId="0" hidden="1">Instructions!$19:$20</definedName>
    <definedName name="Z_7AC71C8E_3F0A_447A_859A_02DD2BAED197_.wvu.Rows" localSheetId="5" hidden="1">Financial_Analysis!$10:$13,Financial_Analysis!$25:$28</definedName>
    <definedName name="Z_C184F80E_05EF_48D4_BF34_C1114A989CB3_.wvu.Cols" localSheetId="3" hidden="1">Evaluation_Factors!$D:$G</definedName>
    <definedName name="Z_C184F80E_05EF_48D4_BF34_C1114A989CB3_.wvu.PrintArea" localSheetId="3" hidden="1">Evaluation_Factors!$A$2:$C$73</definedName>
    <definedName name="Z_EBB9696A_043C_4726_BB65_C9EA17A06614_.wvu.PrintArea" localSheetId="3" hidden="1">Evaluation_Factors!$A$2:$C$73</definedName>
  </definedNames>
  <calcPr calcId="145621"/>
  <customWorkbookViews>
    <customWorkbookView name="rhotard - Personal View" guid="{4F1DA828-56A9-4F85-92B4-9F65C862495B}" mergeInterval="0" personalView="1" maximized="1" xWindow="1" yWindow="1" windowWidth="1276" windowHeight="550" tabRatio="770" activeSheetId="5"/>
    <customWorkbookView name="Access97Only - Personal View" guid="{7AC71C8E-3F0A-447A-859A-02DD2BAED197}" mergeInterval="0" personalView="1" xWindow="5" yWindow="24" windowWidth="953" windowHeight="493" tabRatio="899" activeSheetId="1"/>
  </customWorkbookViews>
</workbook>
</file>

<file path=xl/calcChain.xml><?xml version="1.0" encoding="utf-8"?>
<calcChain xmlns="http://schemas.openxmlformats.org/spreadsheetml/2006/main">
  <c r="M48" i="3" l="1"/>
  <c r="L48" i="3"/>
  <c r="K48" i="3"/>
  <c r="J48" i="3"/>
  <c r="I48" i="3"/>
  <c r="H48" i="3"/>
  <c r="G48" i="3"/>
  <c r="F48" i="3"/>
  <c r="G51" i="3" l="1"/>
  <c r="H51" i="3"/>
  <c r="I51" i="3"/>
  <c r="J51" i="3"/>
  <c r="K51" i="3"/>
  <c r="L51" i="3"/>
  <c r="M51" i="3"/>
  <c r="F51" i="3"/>
  <c r="G9" i="3"/>
  <c r="H9" i="3"/>
  <c r="I9" i="3"/>
  <c r="J9" i="3"/>
  <c r="K9" i="3"/>
  <c r="L9" i="3"/>
  <c r="M9" i="3"/>
  <c r="F9" i="3"/>
  <c r="L6" i="3"/>
  <c r="M6" i="3"/>
  <c r="G6" i="3"/>
  <c r="H6" i="3"/>
  <c r="I6" i="3"/>
  <c r="J6" i="3"/>
  <c r="K6" i="3"/>
  <c r="F6" i="3"/>
  <c r="G61" i="8" l="1"/>
  <c r="F61" i="8"/>
  <c r="E56" i="8"/>
  <c r="D56" i="8"/>
  <c r="E48" i="8"/>
  <c r="D48" i="8"/>
  <c r="E43" i="8"/>
  <c r="D43" i="8"/>
  <c r="D42" i="8"/>
  <c r="E41" i="8"/>
  <c r="D41" i="8"/>
  <c r="E39" i="8"/>
  <c r="D39" i="8"/>
  <c r="M27" i="8"/>
  <c r="L27" i="8"/>
  <c r="K27" i="8"/>
  <c r="J27" i="8"/>
  <c r="I27" i="8"/>
  <c r="H27" i="8"/>
  <c r="G27" i="8"/>
  <c r="F27" i="8"/>
  <c r="D17" i="8"/>
  <c r="D16" i="8"/>
  <c r="E22" i="8"/>
  <c r="D15" i="8"/>
  <c r="D10" i="8"/>
  <c r="D8" i="8"/>
  <c r="E6" i="8"/>
  <c r="D6" i="8"/>
  <c r="K159" i="10"/>
  <c r="J159" i="10"/>
  <c r="I159" i="10"/>
  <c r="H159" i="10"/>
  <c r="G159" i="10"/>
  <c r="F159" i="10"/>
  <c r="E159" i="10"/>
  <c r="D159" i="10"/>
  <c r="K163" i="10"/>
  <c r="J163" i="10"/>
  <c r="I163" i="10"/>
  <c r="H163" i="10"/>
  <c r="G163" i="10"/>
  <c r="F163" i="10"/>
  <c r="E163" i="10"/>
  <c r="D163" i="10"/>
  <c r="K137" i="10"/>
  <c r="J137" i="10"/>
  <c r="I137" i="10"/>
  <c r="H137" i="10"/>
  <c r="G137" i="10"/>
  <c r="F137" i="10"/>
  <c r="E137" i="10"/>
  <c r="D137" i="10"/>
  <c r="E129" i="10"/>
  <c r="D129" i="10"/>
  <c r="K125" i="10"/>
  <c r="J125" i="10"/>
  <c r="I125" i="10"/>
  <c r="H125" i="10"/>
  <c r="G125" i="10"/>
  <c r="F125" i="10"/>
  <c r="E125" i="10"/>
  <c r="D125" i="10"/>
  <c r="B8" i="10"/>
  <c r="B73" i="10" s="1"/>
  <c r="B57" i="10" l="1"/>
  <c r="B89" i="10" s="1"/>
  <c r="B59" i="10"/>
  <c r="B61" i="10"/>
  <c r="B88" i="10" s="1"/>
  <c r="B63" i="10"/>
  <c r="B66" i="10"/>
  <c r="B68" i="10"/>
  <c r="B70" i="10"/>
  <c r="B102" i="10" s="1"/>
  <c r="B72" i="10"/>
  <c r="B74" i="10"/>
  <c r="B56" i="10"/>
  <c r="B58" i="10"/>
  <c r="B90" i="10" s="1"/>
  <c r="B60" i="10"/>
  <c r="B83" i="10" s="1"/>
  <c r="B62" i="10"/>
  <c r="B64" i="10"/>
  <c r="B67" i="10"/>
  <c r="B69" i="10"/>
  <c r="B71" i="10"/>
  <c r="H36" i="8"/>
  <c r="B101" i="10" l="1"/>
  <c r="C101" i="10" s="1"/>
  <c r="B75" i="10"/>
  <c r="B79" i="10"/>
  <c r="B116" i="10"/>
  <c r="C116" i="10"/>
  <c r="B99" i="10"/>
  <c r="C99" i="10" s="1"/>
  <c r="C95" i="10"/>
  <c r="B81" i="10"/>
  <c r="B108" i="10"/>
  <c r="C108" i="10"/>
  <c r="B103" i="10"/>
  <c r="C103" i="10"/>
  <c r="B119" i="10" l="1"/>
  <c r="D119" i="10" s="1"/>
  <c r="C79" i="10"/>
  <c r="C119" i="10" s="1"/>
  <c r="M36" i="8"/>
  <c r="L36" i="8"/>
  <c r="K36" i="8"/>
  <c r="J36" i="8"/>
  <c r="I36" i="8"/>
  <c r="G36" i="8"/>
  <c r="F36" i="8"/>
  <c r="E36" i="8"/>
  <c r="D36" i="8"/>
  <c r="L32" i="5" l="1"/>
  <c r="K32" i="5"/>
  <c r="J32" i="5"/>
  <c r="I32" i="5"/>
  <c r="H32" i="5"/>
  <c r="G32" i="5"/>
  <c r="F32" i="5"/>
  <c r="E32" i="5"/>
  <c r="D32" i="5"/>
  <c r="C32" i="5"/>
  <c r="AD4" i="9" l="1"/>
  <c r="AA4" i="9"/>
  <c r="X4" i="9"/>
  <c r="U4" i="9"/>
  <c r="R4" i="9"/>
  <c r="O4" i="9"/>
  <c r="L4" i="9"/>
  <c r="I4" i="9"/>
  <c r="F4" i="9"/>
  <c r="C4" i="9"/>
  <c r="B4" i="5"/>
  <c r="B48" i="5"/>
  <c r="B47" i="5"/>
  <c r="B46" i="5"/>
  <c r="B45" i="5"/>
  <c r="B44" i="5"/>
  <c r="B43" i="5"/>
  <c r="B42" i="5"/>
  <c r="B41" i="5"/>
  <c r="B40" i="5"/>
  <c r="B22" i="5"/>
  <c r="B21" i="5"/>
  <c r="B20" i="5"/>
  <c r="B19" i="5"/>
  <c r="B18" i="5"/>
  <c r="B17" i="5"/>
  <c r="B16" i="5"/>
  <c r="B15" i="5"/>
  <c r="B14" i="5"/>
  <c r="B7" i="5"/>
  <c r="B6" i="5"/>
  <c r="B5" i="5"/>
  <c r="B9" i="9"/>
  <c r="B19" i="9"/>
  <c r="B18" i="9"/>
  <c r="B29" i="7" l="1"/>
  <c r="B19" i="7"/>
  <c r="B20" i="6" l="1"/>
  <c r="B5" i="6"/>
  <c r="B17" i="9"/>
  <c r="B12" i="9"/>
  <c r="B11" i="9"/>
  <c r="B10" i="9"/>
  <c r="B8" i="9"/>
  <c r="B52" i="5"/>
  <c r="B25" i="5"/>
  <c r="B51" i="5"/>
  <c r="B50" i="5"/>
  <c r="B49" i="5"/>
  <c r="B35" i="5"/>
  <c r="B34" i="5"/>
  <c r="B33" i="5"/>
  <c r="B32" i="5"/>
  <c r="B26" i="5"/>
  <c r="B24" i="5"/>
  <c r="B23" i="5"/>
  <c r="B106" i="8"/>
  <c r="B171" i="8"/>
  <c r="B170" i="8"/>
  <c r="B169" i="8"/>
  <c r="B168" i="8"/>
  <c r="B166" i="8"/>
  <c r="B164" i="8"/>
  <c r="B163" i="8"/>
  <c r="B162" i="8"/>
  <c r="B156" i="8"/>
  <c r="B155" i="8"/>
  <c r="B154" i="8"/>
  <c r="B153" i="8"/>
  <c r="B152" i="8"/>
  <c r="B151" i="8"/>
  <c r="B145" i="8"/>
  <c r="B144" i="8"/>
  <c r="B143" i="8"/>
  <c r="B142" i="8"/>
  <c r="B141" i="8"/>
  <c r="B140" i="8"/>
  <c r="B161" i="8"/>
  <c r="B160" i="8"/>
  <c r="B149" i="8"/>
  <c r="B138" i="8"/>
  <c r="B128" i="8"/>
  <c r="B127" i="8"/>
  <c r="B117" i="8"/>
  <c r="B116" i="8"/>
  <c r="B105" i="8"/>
  <c r="B95" i="8"/>
  <c r="B94" i="8"/>
  <c r="B84" i="8"/>
  <c r="B83" i="8"/>
  <c r="B73" i="8"/>
  <c r="B70" i="8"/>
  <c r="B69" i="8"/>
  <c r="B64" i="8"/>
  <c r="B36" i="8" l="1"/>
  <c r="B31" i="8"/>
  <c r="B30" i="8"/>
  <c r="L48" i="5" l="1"/>
  <c r="K48" i="5"/>
  <c r="J48" i="5"/>
  <c r="I48" i="5"/>
  <c r="H48" i="5"/>
  <c r="G48" i="5"/>
  <c r="F48" i="5"/>
  <c r="E48" i="5"/>
  <c r="D48" i="5"/>
  <c r="L47" i="5"/>
  <c r="K47" i="5"/>
  <c r="J47" i="5"/>
  <c r="I47" i="5"/>
  <c r="H47" i="5"/>
  <c r="G47" i="5"/>
  <c r="F47" i="5"/>
  <c r="E47" i="5"/>
  <c r="D47" i="5"/>
  <c r="L46" i="5"/>
  <c r="K46" i="5"/>
  <c r="J46" i="5"/>
  <c r="I46" i="5"/>
  <c r="H46" i="5"/>
  <c r="G46" i="5"/>
  <c r="F46" i="5"/>
  <c r="E46" i="5"/>
  <c r="D46" i="5"/>
  <c r="L45" i="5"/>
  <c r="K45" i="5"/>
  <c r="J45" i="5"/>
  <c r="I45" i="5"/>
  <c r="H45" i="5"/>
  <c r="G45" i="5"/>
  <c r="F45" i="5"/>
  <c r="E45" i="5"/>
  <c r="D45" i="5"/>
  <c r="L44" i="5"/>
  <c r="K44" i="5"/>
  <c r="J44" i="5"/>
  <c r="I44" i="5"/>
  <c r="H44" i="5"/>
  <c r="G44" i="5"/>
  <c r="F44" i="5"/>
  <c r="E44" i="5"/>
  <c r="D44" i="5"/>
  <c r="L43" i="5"/>
  <c r="K43" i="5"/>
  <c r="J43" i="5"/>
  <c r="I43" i="5"/>
  <c r="H43" i="5"/>
  <c r="G43" i="5"/>
  <c r="F43" i="5"/>
  <c r="E43" i="5"/>
  <c r="D43" i="5"/>
  <c r="L42" i="5"/>
  <c r="K42" i="5"/>
  <c r="J42" i="5"/>
  <c r="I42" i="5"/>
  <c r="H42" i="5"/>
  <c r="G42" i="5"/>
  <c r="F42" i="5"/>
  <c r="E42" i="5"/>
  <c r="D42" i="5"/>
  <c r="L41" i="5"/>
  <c r="K41" i="5"/>
  <c r="J41" i="5"/>
  <c r="I41" i="5"/>
  <c r="H41" i="5"/>
  <c r="G41" i="5"/>
  <c r="F41" i="5"/>
  <c r="E41" i="5"/>
  <c r="D41" i="5"/>
  <c r="L40" i="5"/>
  <c r="K40" i="5"/>
  <c r="J40" i="5"/>
  <c r="I40" i="5"/>
  <c r="H40" i="5"/>
  <c r="G40" i="5"/>
  <c r="F40" i="5"/>
  <c r="E40" i="5"/>
  <c r="D40" i="5"/>
  <c r="C48" i="5"/>
  <c r="C47" i="5"/>
  <c r="C46" i="5"/>
  <c r="C45" i="5"/>
  <c r="C44" i="5"/>
  <c r="C43" i="5"/>
  <c r="C42" i="5"/>
  <c r="C41" i="5"/>
  <c r="C40" i="5"/>
  <c r="N48" i="5" l="1"/>
  <c r="N47" i="5"/>
  <c r="N46" i="5"/>
  <c r="N45" i="5"/>
  <c r="N44" i="5"/>
  <c r="N43" i="5"/>
  <c r="N42" i="5"/>
  <c r="N41" i="5"/>
  <c r="N40" i="5"/>
  <c r="A21" i="1" l="1"/>
  <c r="L22" i="5" l="1"/>
  <c r="K22" i="5"/>
  <c r="J22" i="5"/>
  <c r="I22" i="5"/>
  <c r="H22" i="5"/>
  <c r="G22" i="5"/>
  <c r="F22" i="5"/>
  <c r="E22" i="5"/>
  <c r="D22" i="5"/>
  <c r="L21" i="5"/>
  <c r="K21" i="5"/>
  <c r="J21" i="5"/>
  <c r="I21" i="5"/>
  <c r="H21" i="5"/>
  <c r="G21" i="5"/>
  <c r="F21" i="5"/>
  <c r="E21" i="5"/>
  <c r="D21" i="5"/>
  <c r="L20" i="5"/>
  <c r="K20" i="5"/>
  <c r="J20" i="5"/>
  <c r="I20" i="5"/>
  <c r="H20" i="5"/>
  <c r="G20" i="5"/>
  <c r="F20" i="5"/>
  <c r="E20" i="5"/>
  <c r="D20" i="5"/>
  <c r="L19" i="5"/>
  <c r="K19" i="5"/>
  <c r="J19" i="5"/>
  <c r="I19" i="5"/>
  <c r="H19" i="5"/>
  <c r="G19" i="5"/>
  <c r="F19" i="5"/>
  <c r="E19" i="5"/>
  <c r="D19" i="5"/>
  <c r="L18" i="5"/>
  <c r="K18" i="5"/>
  <c r="J18" i="5"/>
  <c r="I18" i="5"/>
  <c r="H18" i="5"/>
  <c r="G18" i="5"/>
  <c r="F18" i="5"/>
  <c r="E18" i="5"/>
  <c r="D18" i="5"/>
  <c r="L17" i="5"/>
  <c r="K17" i="5"/>
  <c r="J17" i="5"/>
  <c r="I17" i="5"/>
  <c r="H17" i="5"/>
  <c r="G17" i="5"/>
  <c r="F17" i="5"/>
  <c r="E17" i="5"/>
  <c r="D17" i="5"/>
  <c r="L16" i="5"/>
  <c r="K16" i="5"/>
  <c r="J16" i="5"/>
  <c r="I16" i="5"/>
  <c r="H16" i="5"/>
  <c r="G16" i="5"/>
  <c r="F16" i="5"/>
  <c r="E16" i="5"/>
  <c r="D16" i="5"/>
  <c r="L15" i="5"/>
  <c r="K15" i="5"/>
  <c r="J15" i="5"/>
  <c r="I15" i="5"/>
  <c r="H15" i="5"/>
  <c r="G15" i="5"/>
  <c r="F15" i="5"/>
  <c r="E15" i="5"/>
  <c r="D15" i="5"/>
  <c r="C22" i="5"/>
  <c r="C21" i="5"/>
  <c r="C20" i="5"/>
  <c r="C19" i="5"/>
  <c r="C18" i="5"/>
  <c r="C17" i="5"/>
  <c r="C16" i="5"/>
  <c r="C15" i="5"/>
  <c r="L14" i="5"/>
  <c r="K14" i="5"/>
  <c r="J14" i="5"/>
  <c r="I14" i="5"/>
  <c r="H14" i="5"/>
  <c r="G14" i="5"/>
  <c r="F14" i="5"/>
  <c r="E14" i="5"/>
  <c r="D14" i="5"/>
  <c r="C14" i="5"/>
  <c r="O21" i="8" l="1"/>
  <c r="AH22" i="9" l="1"/>
  <c r="AH21" i="9"/>
  <c r="AH20" i="9"/>
  <c r="AH15" i="9"/>
  <c r="AH14" i="9"/>
  <c r="AH13" i="9"/>
  <c r="AD19" i="9" l="1"/>
  <c r="AE19" i="9" s="1"/>
  <c r="AD18" i="9"/>
  <c r="AE18" i="9" s="1"/>
  <c r="AA19" i="9"/>
  <c r="AB19" i="9" s="1"/>
  <c r="AA18" i="9"/>
  <c r="AB18" i="9" s="1"/>
  <c r="X19" i="9"/>
  <c r="Y19" i="9" s="1"/>
  <c r="U19" i="9"/>
  <c r="V19" i="9" s="1"/>
  <c r="X18" i="9"/>
  <c r="Y18" i="9" s="1"/>
  <c r="U18" i="9"/>
  <c r="V18" i="9" s="1"/>
  <c r="R19" i="9"/>
  <c r="S19" i="9" s="1"/>
  <c r="R18" i="9"/>
  <c r="S18" i="9" s="1"/>
  <c r="O19" i="9"/>
  <c r="P19" i="9" s="1"/>
  <c r="O18" i="9"/>
  <c r="P18" i="9" s="1"/>
  <c r="L19" i="9"/>
  <c r="M19" i="9" s="1"/>
  <c r="L18" i="9"/>
  <c r="M18" i="9" s="1"/>
  <c r="I19" i="9"/>
  <c r="J19" i="9" s="1"/>
  <c r="I18" i="9"/>
  <c r="J18" i="9" s="1"/>
  <c r="F19" i="9"/>
  <c r="G19" i="9" s="1"/>
  <c r="F18" i="9"/>
  <c r="G18" i="9" s="1"/>
  <c r="C19" i="9" l="1"/>
  <c r="C18" i="9"/>
  <c r="D18" i="9" l="1"/>
  <c r="AH18" i="9" s="1"/>
  <c r="D19" i="9"/>
  <c r="AH19" i="9" s="1"/>
  <c r="O91" i="8"/>
  <c r="O54" i="8"/>
  <c r="O53" i="8"/>
  <c r="O52" i="8"/>
  <c r="M160" i="8"/>
  <c r="L160" i="8"/>
  <c r="K160" i="8"/>
  <c r="J160" i="8"/>
  <c r="I160" i="8"/>
  <c r="H160" i="8"/>
  <c r="G160" i="8"/>
  <c r="F160" i="8"/>
  <c r="E160" i="8"/>
  <c r="D160" i="8"/>
  <c r="O159" i="8"/>
  <c r="O158" i="8"/>
  <c r="O157" i="8"/>
  <c r="O156" i="8"/>
  <c r="O155" i="8"/>
  <c r="O154" i="8"/>
  <c r="O153" i="8"/>
  <c r="O152" i="8"/>
  <c r="O151" i="8"/>
  <c r="M138" i="8"/>
  <c r="L38" i="5" s="1"/>
  <c r="L138" i="8"/>
  <c r="K38" i="5" s="1"/>
  <c r="K138" i="8"/>
  <c r="J38" i="5" s="1"/>
  <c r="J138" i="8"/>
  <c r="I38" i="5" s="1"/>
  <c r="I138" i="8"/>
  <c r="H38" i="5" s="1"/>
  <c r="H138" i="8"/>
  <c r="G38" i="5" s="1"/>
  <c r="G138" i="8"/>
  <c r="F38" i="5" s="1"/>
  <c r="F138" i="8"/>
  <c r="E38" i="5" s="1"/>
  <c r="E138" i="8"/>
  <c r="D38" i="5" s="1"/>
  <c r="D138" i="8"/>
  <c r="C38" i="5" s="1"/>
  <c r="N38" i="5" s="1"/>
  <c r="O137" i="8"/>
  <c r="O136" i="8"/>
  <c r="O135" i="8"/>
  <c r="O134" i="8"/>
  <c r="O133" i="8"/>
  <c r="O132" i="8"/>
  <c r="O131" i="8"/>
  <c r="O130" i="8"/>
  <c r="O129" i="8"/>
  <c r="O102" i="8"/>
  <c r="M105" i="8"/>
  <c r="L37" i="5" s="1"/>
  <c r="L49" i="5" s="1"/>
  <c r="L105" i="8"/>
  <c r="K37" i="5" s="1"/>
  <c r="K49" i="5" s="1"/>
  <c r="K105" i="8"/>
  <c r="J37" i="5" s="1"/>
  <c r="J49" i="5" s="1"/>
  <c r="J105" i="8"/>
  <c r="I37" i="5" s="1"/>
  <c r="I49" i="5" s="1"/>
  <c r="I105" i="8"/>
  <c r="H37" i="5" s="1"/>
  <c r="H49" i="5" s="1"/>
  <c r="H105" i="8"/>
  <c r="G37" i="5" s="1"/>
  <c r="G49" i="5" s="1"/>
  <c r="G105" i="8"/>
  <c r="F37" i="5" s="1"/>
  <c r="F49" i="5" s="1"/>
  <c r="F105" i="8"/>
  <c r="E37" i="5" s="1"/>
  <c r="E49" i="5" s="1"/>
  <c r="E105" i="8"/>
  <c r="D37" i="5" s="1"/>
  <c r="D49" i="5" s="1"/>
  <c r="D105" i="8"/>
  <c r="C37" i="5" s="1"/>
  <c r="O104" i="8"/>
  <c r="O103" i="8"/>
  <c r="O101" i="8"/>
  <c r="O100" i="8"/>
  <c r="O99" i="8"/>
  <c r="O98" i="8"/>
  <c r="O97" i="8"/>
  <c r="O96" i="8"/>
  <c r="N37" i="5" l="1"/>
  <c r="N49" i="5" s="1"/>
  <c r="C49" i="5"/>
  <c r="D162" i="8"/>
  <c r="F162" i="8"/>
  <c r="H162" i="8"/>
  <c r="J162" i="8"/>
  <c r="L162" i="8"/>
  <c r="E162" i="8"/>
  <c r="G162" i="8"/>
  <c r="I162" i="8"/>
  <c r="K162" i="8"/>
  <c r="M162" i="8"/>
  <c r="O160" i="8"/>
  <c r="O138" i="8"/>
  <c r="O105" i="8"/>
  <c r="O162" i="8" l="1"/>
  <c r="M68" i="8"/>
  <c r="L34" i="5" s="1"/>
  <c r="L68" i="8"/>
  <c r="K34" i="5" s="1"/>
  <c r="K68" i="8"/>
  <c r="J34" i="5" s="1"/>
  <c r="J68" i="8"/>
  <c r="I34" i="5" s="1"/>
  <c r="I68" i="8"/>
  <c r="H34" i="5" s="1"/>
  <c r="H68" i="8"/>
  <c r="G34" i="5" s="1"/>
  <c r="G68" i="8"/>
  <c r="F34" i="5" s="1"/>
  <c r="F68" i="8"/>
  <c r="E34" i="5" s="1"/>
  <c r="E68" i="8"/>
  <c r="D34" i="5" s="1"/>
  <c r="D68" i="8"/>
  <c r="C34" i="5" s="1"/>
  <c r="N34" i="5" s="1"/>
  <c r="O67" i="8"/>
  <c r="O66" i="8"/>
  <c r="O22" i="8"/>
  <c r="O23" i="8"/>
  <c r="M25" i="8"/>
  <c r="O24" i="8"/>
  <c r="L25" i="8"/>
  <c r="K25" i="8"/>
  <c r="J25" i="8"/>
  <c r="I25" i="8"/>
  <c r="H25" i="8"/>
  <c r="G25" i="8"/>
  <c r="F25" i="8"/>
  <c r="E25" i="8"/>
  <c r="D25" i="8"/>
  <c r="O68" i="8" l="1"/>
  <c r="M35" i="8" l="1"/>
  <c r="L33" i="5" s="1"/>
  <c r="L35" i="8"/>
  <c r="K33" i="5" s="1"/>
  <c r="K35" i="8"/>
  <c r="J35" i="8"/>
  <c r="I33" i="5" s="1"/>
  <c r="I35" i="8"/>
  <c r="H35" i="8"/>
  <c r="G33" i="5" s="1"/>
  <c r="G35" i="8"/>
  <c r="F35" i="8"/>
  <c r="E33" i="5" s="1"/>
  <c r="E35" i="8"/>
  <c r="D35" i="8"/>
  <c r="C33" i="5" s="1"/>
  <c r="O34" i="8"/>
  <c r="O33" i="8"/>
  <c r="M149" i="8"/>
  <c r="L149" i="8"/>
  <c r="K149" i="8"/>
  <c r="J149" i="8"/>
  <c r="I149" i="8"/>
  <c r="H149" i="8"/>
  <c r="G149" i="8"/>
  <c r="F149" i="8"/>
  <c r="E149" i="8"/>
  <c r="D149" i="8"/>
  <c r="O148" i="8"/>
  <c r="O147" i="8"/>
  <c r="O146" i="8"/>
  <c r="O145" i="8"/>
  <c r="O144" i="8"/>
  <c r="O143" i="8"/>
  <c r="O142" i="8"/>
  <c r="O141" i="8"/>
  <c r="O140" i="8"/>
  <c r="M127" i="8"/>
  <c r="L127" i="8"/>
  <c r="K127" i="8"/>
  <c r="J127" i="8"/>
  <c r="I127" i="8"/>
  <c r="H127" i="8"/>
  <c r="G127" i="8"/>
  <c r="F127" i="8"/>
  <c r="E127" i="8"/>
  <c r="D127" i="8"/>
  <c r="O126" i="8"/>
  <c r="O125" i="8"/>
  <c r="O124" i="8"/>
  <c r="O123" i="8"/>
  <c r="O122" i="8"/>
  <c r="O121" i="8"/>
  <c r="O120" i="8"/>
  <c r="O119" i="8"/>
  <c r="O118" i="8"/>
  <c r="M116" i="8"/>
  <c r="L116" i="8"/>
  <c r="K116" i="8"/>
  <c r="J116" i="8"/>
  <c r="I116" i="8"/>
  <c r="H116" i="8"/>
  <c r="G116" i="8"/>
  <c r="F116" i="8"/>
  <c r="E116" i="8"/>
  <c r="D116" i="8"/>
  <c r="O115" i="8"/>
  <c r="O114" i="8"/>
  <c r="O113" i="8"/>
  <c r="O112" i="8"/>
  <c r="O111" i="8"/>
  <c r="O110" i="8"/>
  <c r="O109" i="8"/>
  <c r="O108" i="8"/>
  <c r="O107" i="8"/>
  <c r="M94" i="8"/>
  <c r="L94" i="8"/>
  <c r="K94" i="8"/>
  <c r="J94" i="8"/>
  <c r="I94" i="8"/>
  <c r="H94" i="8"/>
  <c r="G94" i="8"/>
  <c r="F94" i="8"/>
  <c r="E94" i="8"/>
  <c r="D94" i="8"/>
  <c r="O93" i="8"/>
  <c r="O92" i="8"/>
  <c r="O90" i="8"/>
  <c r="O89" i="8"/>
  <c r="O88" i="8"/>
  <c r="O87" i="8"/>
  <c r="O86" i="8"/>
  <c r="O85" i="8"/>
  <c r="M83" i="8"/>
  <c r="L83" i="8"/>
  <c r="K83" i="8"/>
  <c r="J83" i="8"/>
  <c r="I83" i="8"/>
  <c r="H83" i="8"/>
  <c r="G83" i="8"/>
  <c r="F83" i="8"/>
  <c r="E83" i="8"/>
  <c r="D83" i="8"/>
  <c r="O82" i="8"/>
  <c r="O81" i="8"/>
  <c r="O80" i="8"/>
  <c r="O79" i="8"/>
  <c r="O78" i="8"/>
  <c r="O77" i="8"/>
  <c r="O76" i="8"/>
  <c r="O75" i="8"/>
  <c r="O74" i="8"/>
  <c r="M63" i="8"/>
  <c r="L63" i="8"/>
  <c r="K63" i="8"/>
  <c r="J63" i="8"/>
  <c r="I63" i="8"/>
  <c r="H63" i="8"/>
  <c r="G63" i="8"/>
  <c r="F63" i="8"/>
  <c r="E63" i="8"/>
  <c r="D63" i="8"/>
  <c r="O62" i="8"/>
  <c r="O61" i="8"/>
  <c r="M59" i="8"/>
  <c r="M64" i="8" s="1"/>
  <c r="L59" i="8"/>
  <c r="L64" i="8" s="1"/>
  <c r="K59" i="8"/>
  <c r="K64" i="8" s="1"/>
  <c r="J59" i="8"/>
  <c r="J64" i="8" s="1"/>
  <c r="I59" i="8"/>
  <c r="I64" i="8" s="1"/>
  <c r="H59" i="8"/>
  <c r="H64" i="8" s="1"/>
  <c r="G59" i="8"/>
  <c r="G64" i="8" s="1"/>
  <c r="F59" i="8"/>
  <c r="F64" i="8" s="1"/>
  <c r="E59" i="8"/>
  <c r="E64" i="8" s="1"/>
  <c r="D59" i="8"/>
  <c r="D64" i="8" s="1"/>
  <c r="O55" i="8"/>
  <c r="O58" i="8"/>
  <c r="O57" i="8"/>
  <c r="O56" i="8"/>
  <c r="O51" i="8"/>
  <c r="O50" i="8"/>
  <c r="O49" i="8"/>
  <c r="O48" i="8"/>
  <c r="O47" i="8"/>
  <c r="O46" i="8"/>
  <c r="O45" i="8"/>
  <c r="O44" i="8"/>
  <c r="O43" i="8"/>
  <c r="O42" i="8"/>
  <c r="O41" i="8"/>
  <c r="O40" i="8"/>
  <c r="O39" i="8"/>
  <c r="M29" i="8"/>
  <c r="L29" i="8"/>
  <c r="K29" i="8"/>
  <c r="J29" i="8"/>
  <c r="I29" i="8"/>
  <c r="H29" i="8"/>
  <c r="G29" i="8"/>
  <c r="F29" i="8"/>
  <c r="E29" i="8"/>
  <c r="D29" i="8"/>
  <c r="O28" i="8"/>
  <c r="O27" i="8"/>
  <c r="O20" i="8"/>
  <c r="O19" i="8"/>
  <c r="O18" i="8"/>
  <c r="O17" i="8"/>
  <c r="O16" i="8"/>
  <c r="O15" i="8"/>
  <c r="O14" i="8"/>
  <c r="O13" i="8"/>
  <c r="O12" i="8"/>
  <c r="O11" i="8"/>
  <c r="O10" i="8"/>
  <c r="O9" i="8"/>
  <c r="O8" i="8"/>
  <c r="O7" i="8"/>
  <c r="O6" i="8"/>
  <c r="D30" i="8" l="1"/>
  <c r="C5" i="5" s="1"/>
  <c r="F30" i="8"/>
  <c r="E5" i="5" s="1"/>
  <c r="H30" i="8"/>
  <c r="G5" i="5" s="1"/>
  <c r="J30" i="8"/>
  <c r="I5" i="5" s="1"/>
  <c r="E30" i="8"/>
  <c r="D5" i="5" s="1"/>
  <c r="G30" i="8"/>
  <c r="F5" i="5" s="1"/>
  <c r="I30" i="8"/>
  <c r="H5" i="5" s="1"/>
  <c r="J5" i="5"/>
  <c r="K30" i="8"/>
  <c r="M30" i="8"/>
  <c r="L5" i="5" s="1"/>
  <c r="L30" i="8"/>
  <c r="K5" i="5" s="1"/>
  <c r="C7" i="9"/>
  <c r="D7" i="9" s="1"/>
  <c r="C6" i="5"/>
  <c r="I7" i="9"/>
  <c r="J7" i="9" s="1"/>
  <c r="E6" i="5"/>
  <c r="O7" i="9"/>
  <c r="P7" i="9" s="1"/>
  <c r="G6" i="5"/>
  <c r="U7" i="9"/>
  <c r="V7" i="9" s="1"/>
  <c r="I6" i="5"/>
  <c r="AA7" i="9"/>
  <c r="AB7" i="9" s="1"/>
  <c r="K6" i="5"/>
  <c r="F8" i="9"/>
  <c r="G8" i="9" s="1"/>
  <c r="D9" i="5"/>
  <c r="L8" i="9"/>
  <c r="M8" i="9" s="1"/>
  <c r="F9" i="5"/>
  <c r="R8" i="9"/>
  <c r="S8" i="9" s="1"/>
  <c r="H9" i="5"/>
  <c r="X8" i="9"/>
  <c r="Y8" i="9" s="1"/>
  <c r="J9" i="5"/>
  <c r="AD8" i="9"/>
  <c r="AE8" i="9" s="1"/>
  <c r="L9" i="5"/>
  <c r="F9" i="9"/>
  <c r="G9" i="9" s="1"/>
  <c r="D10" i="5"/>
  <c r="L9" i="9"/>
  <c r="M9" i="9" s="1"/>
  <c r="F10" i="5"/>
  <c r="R9" i="9"/>
  <c r="S9" i="9" s="1"/>
  <c r="H10" i="5"/>
  <c r="X9" i="9"/>
  <c r="Y9" i="9" s="1"/>
  <c r="J10" i="5"/>
  <c r="AD9" i="9"/>
  <c r="AE9" i="9" s="1"/>
  <c r="L10" i="5"/>
  <c r="C10" i="9"/>
  <c r="D10" i="9" s="1"/>
  <c r="C11" i="5"/>
  <c r="I10" i="9"/>
  <c r="J10" i="9" s="1"/>
  <c r="E11" i="5"/>
  <c r="O10" i="9"/>
  <c r="P10" i="9" s="1"/>
  <c r="G11" i="5"/>
  <c r="U10" i="9"/>
  <c r="V10" i="9" s="1"/>
  <c r="I11" i="5"/>
  <c r="AA10" i="9"/>
  <c r="AB10" i="9" s="1"/>
  <c r="K11" i="5"/>
  <c r="F11" i="9"/>
  <c r="G11" i="9" s="1"/>
  <c r="D12" i="5"/>
  <c r="L11" i="9"/>
  <c r="M11" i="9" s="1"/>
  <c r="F12" i="5"/>
  <c r="R11" i="9"/>
  <c r="S11" i="9" s="1"/>
  <c r="H12" i="5"/>
  <c r="X11" i="9"/>
  <c r="Y11" i="9" s="1"/>
  <c r="J12" i="5"/>
  <c r="AD11" i="9"/>
  <c r="AE11" i="9" s="1"/>
  <c r="L12" i="5"/>
  <c r="F7" i="9"/>
  <c r="G7" i="9" s="1"/>
  <c r="D6" i="5"/>
  <c r="L7" i="9"/>
  <c r="M7" i="9" s="1"/>
  <c r="F6" i="5"/>
  <c r="R7" i="9"/>
  <c r="S7" i="9" s="1"/>
  <c r="H6" i="5"/>
  <c r="X7" i="9"/>
  <c r="Y7" i="9" s="1"/>
  <c r="J6" i="5"/>
  <c r="AD7" i="9"/>
  <c r="AE7" i="9" s="1"/>
  <c r="L6" i="5"/>
  <c r="C8" i="9"/>
  <c r="D8" i="9" s="1"/>
  <c r="C9" i="5"/>
  <c r="I8" i="9"/>
  <c r="J8" i="9" s="1"/>
  <c r="E9" i="5"/>
  <c r="O8" i="9"/>
  <c r="P8" i="9" s="1"/>
  <c r="G9" i="5"/>
  <c r="U8" i="9"/>
  <c r="V8" i="9" s="1"/>
  <c r="I9" i="5"/>
  <c r="AA8" i="9"/>
  <c r="AB8" i="9" s="1"/>
  <c r="AH8" i="9" s="1"/>
  <c r="K9" i="5"/>
  <c r="C9" i="9"/>
  <c r="C10" i="5"/>
  <c r="I9" i="9"/>
  <c r="J9" i="9" s="1"/>
  <c r="E10" i="5"/>
  <c r="O9" i="9"/>
  <c r="P9" i="9" s="1"/>
  <c r="G10" i="5"/>
  <c r="U9" i="9"/>
  <c r="V9" i="9" s="1"/>
  <c r="I10" i="5"/>
  <c r="AA9" i="9"/>
  <c r="AB9" i="9" s="1"/>
  <c r="K10" i="5"/>
  <c r="F10" i="9"/>
  <c r="G10" i="9" s="1"/>
  <c r="D11" i="5"/>
  <c r="L10" i="9"/>
  <c r="M10" i="9" s="1"/>
  <c r="F11" i="5"/>
  <c r="R10" i="9"/>
  <c r="S10" i="9" s="1"/>
  <c r="H11" i="5"/>
  <c r="X10" i="9"/>
  <c r="Y10" i="9" s="1"/>
  <c r="J11" i="5"/>
  <c r="AD10" i="9"/>
  <c r="AE10" i="9" s="1"/>
  <c r="AH10" i="9" s="1"/>
  <c r="L11" i="5"/>
  <c r="C11" i="9"/>
  <c r="D11" i="9" s="1"/>
  <c r="C12" i="5"/>
  <c r="I11" i="9"/>
  <c r="J11" i="9" s="1"/>
  <c r="E12" i="5"/>
  <c r="O11" i="9"/>
  <c r="P11" i="9" s="1"/>
  <c r="G12" i="5"/>
  <c r="U11" i="9"/>
  <c r="V11" i="9" s="1"/>
  <c r="I12" i="5"/>
  <c r="AA11" i="9"/>
  <c r="AB11" i="9" s="1"/>
  <c r="K12" i="5"/>
  <c r="D33" i="5"/>
  <c r="F33" i="5"/>
  <c r="H33" i="5"/>
  <c r="J33" i="5"/>
  <c r="D9" i="9"/>
  <c r="AH9" i="9" s="1"/>
  <c r="D161" i="8"/>
  <c r="C12" i="9"/>
  <c r="D12" i="9" s="1"/>
  <c r="F161" i="8"/>
  <c r="I12" i="9"/>
  <c r="J12" i="9" s="1"/>
  <c r="H161" i="8"/>
  <c r="O12" i="9"/>
  <c r="P12" i="9" s="1"/>
  <c r="J161" i="8"/>
  <c r="U12" i="9"/>
  <c r="V12" i="9" s="1"/>
  <c r="L161" i="8"/>
  <c r="AA12" i="9"/>
  <c r="AB12" i="9" s="1"/>
  <c r="E161" i="8"/>
  <c r="F12" i="9"/>
  <c r="G12" i="9" s="1"/>
  <c r="G161" i="8"/>
  <c r="L12" i="9"/>
  <c r="M12" i="9" s="1"/>
  <c r="I161" i="8"/>
  <c r="R12" i="9"/>
  <c r="S12" i="9" s="1"/>
  <c r="K161" i="8"/>
  <c r="X12" i="9"/>
  <c r="Y12" i="9" s="1"/>
  <c r="M161" i="8"/>
  <c r="AD12" i="9"/>
  <c r="AE12" i="9" s="1"/>
  <c r="O25" i="8"/>
  <c r="G31" i="8"/>
  <c r="F4" i="5" s="1"/>
  <c r="K31" i="8"/>
  <c r="J4" i="5" s="1"/>
  <c r="O35" i="8"/>
  <c r="M37" i="8"/>
  <c r="O29" i="8"/>
  <c r="O59" i="8"/>
  <c r="O94" i="8"/>
  <c r="O127" i="8"/>
  <c r="I31" i="8"/>
  <c r="H4" i="5" s="1"/>
  <c r="F37" i="8"/>
  <c r="E35" i="5" s="1"/>
  <c r="E50" i="5" s="1"/>
  <c r="H37" i="8"/>
  <c r="G35" i="5" s="1"/>
  <c r="G50" i="5" s="1"/>
  <c r="J37" i="8"/>
  <c r="I35" i="5" s="1"/>
  <c r="I50" i="5" s="1"/>
  <c r="L37" i="8"/>
  <c r="K35" i="5" s="1"/>
  <c r="K50" i="5" s="1"/>
  <c r="F31" i="8"/>
  <c r="E4" i="5" s="1"/>
  <c r="J31" i="8"/>
  <c r="I4" i="5" s="1"/>
  <c r="L31" i="8"/>
  <c r="K4" i="5" s="1"/>
  <c r="D37" i="8"/>
  <c r="O63" i="8"/>
  <c r="O83" i="8"/>
  <c r="O116" i="8"/>
  <c r="O149" i="8"/>
  <c r="M31" i="8" l="1"/>
  <c r="L4" i="5" s="1"/>
  <c r="H31" i="8"/>
  <c r="G4" i="5" s="1"/>
  <c r="D31" i="8"/>
  <c r="C4" i="5" s="1"/>
  <c r="E31" i="8"/>
  <c r="D4" i="5" s="1"/>
  <c r="AH11" i="9"/>
  <c r="N33" i="5"/>
  <c r="K37" i="8"/>
  <c r="I37" i="8"/>
  <c r="G37" i="8"/>
  <c r="E37" i="8"/>
  <c r="M70" i="8"/>
  <c r="M164" i="8" s="1"/>
  <c r="M168" i="8" s="1"/>
  <c r="L35" i="5"/>
  <c r="L50" i="5" s="1"/>
  <c r="C35" i="5"/>
  <c r="C50" i="5" s="1"/>
  <c r="C6" i="9"/>
  <c r="AE6" i="9"/>
  <c r="S6" i="9"/>
  <c r="G6" i="9"/>
  <c r="AB6" i="9"/>
  <c r="P6" i="9"/>
  <c r="O161" i="8"/>
  <c r="Y6" i="9"/>
  <c r="M6" i="9"/>
  <c r="V6" i="9"/>
  <c r="J6" i="9"/>
  <c r="D70" i="8"/>
  <c r="D164" i="8" s="1"/>
  <c r="D168" i="8" s="1"/>
  <c r="C51" i="5" s="1"/>
  <c r="L70" i="8"/>
  <c r="L164" i="8" s="1"/>
  <c r="L168" i="8" s="1"/>
  <c r="H70" i="8"/>
  <c r="H164" i="8" s="1"/>
  <c r="H168" i="8" s="1"/>
  <c r="J70" i="8"/>
  <c r="J164" i="8" s="1"/>
  <c r="J168" i="8" s="1"/>
  <c r="F70" i="8"/>
  <c r="F164" i="8" s="1"/>
  <c r="F168" i="8" s="1"/>
  <c r="AH7" i="9"/>
  <c r="AD6" i="9"/>
  <c r="X6" i="9"/>
  <c r="R6" i="9"/>
  <c r="L6" i="9"/>
  <c r="F6" i="9"/>
  <c r="AH12" i="9"/>
  <c r="AA6" i="9"/>
  <c r="U6" i="9"/>
  <c r="O6" i="9"/>
  <c r="I6" i="9"/>
  <c r="H69" i="8"/>
  <c r="H163" i="8" s="1"/>
  <c r="H166" i="8" s="1"/>
  <c r="G25" i="5" s="1"/>
  <c r="O17" i="9"/>
  <c r="P17" i="9" s="1"/>
  <c r="D69" i="8"/>
  <c r="D163" i="8" s="1"/>
  <c r="D166" i="8" s="1"/>
  <c r="C25" i="5" s="1"/>
  <c r="AD17" i="9"/>
  <c r="AE17" i="9" s="1"/>
  <c r="F17" i="9"/>
  <c r="G17" i="9" s="1"/>
  <c r="G69" i="8"/>
  <c r="G163" i="8" s="1"/>
  <c r="G166" i="8" s="1"/>
  <c r="F25" i="5" s="1"/>
  <c r="L17" i="9"/>
  <c r="M17" i="9" s="1"/>
  <c r="L69" i="8"/>
  <c r="L163" i="8" s="1"/>
  <c r="L166" i="8" s="1"/>
  <c r="K25" i="5" s="1"/>
  <c r="AA17" i="9"/>
  <c r="AB17" i="9" s="1"/>
  <c r="J69" i="8"/>
  <c r="J163" i="8" s="1"/>
  <c r="J166" i="8" s="1"/>
  <c r="I25" i="5" s="1"/>
  <c r="U17" i="9"/>
  <c r="V17" i="9" s="1"/>
  <c r="F69" i="8"/>
  <c r="F163" i="8" s="1"/>
  <c r="F166" i="8" s="1"/>
  <c r="E25" i="5" s="1"/>
  <c r="I17" i="9"/>
  <c r="J17" i="9" s="1"/>
  <c r="I69" i="8"/>
  <c r="I163" i="8" s="1"/>
  <c r="I166" i="8" s="1"/>
  <c r="H25" i="5" s="1"/>
  <c r="R17" i="9"/>
  <c r="S17" i="9" s="1"/>
  <c r="K69" i="8"/>
  <c r="K163" i="8" s="1"/>
  <c r="K166" i="8" s="1"/>
  <c r="J25" i="5" s="1"/>
  <c r="X17" i="9"/>
  <c r="Y17" i="9" s="1"/>
  <c r="D6" i="9"/>
  <c r="O64" i="8"/>
  <c r="O36" i="8"/>
  <c r="O30" i="8"/>
  <c r="M69" i="8" l="1"/>
  <c r="M163" i="8" s="1"/>
  <c r="M166" i="8" s="1"/>
  <c r="M169" i="8" s="1"/>
  <c r="M171" i="8" s="1"/>
  <c r="C17" i="9"/>
  <c r="D17" i="9" s="1"/>
  <c r="D16" i="9" s="1"/>
  <c r="D23" i="9" s="1"/>
  <c r="O31" i="8"/>
  <c r="O69" i="8" s="1"/>
  <c r="O163" i="8" s="1"/>
  <c r="E69" i="8"/>
  <c r="E163" i="8" s="1"/>
  <c r="E166" i="8" s="1"/>
  <c r="D25" i="5" s="1"/>
  <c r="O37" i="8"/>
  <c r="O70" i="8" s="1"/>
  <c r="O164" i="8" s="1"/>
  <c r="E70" i="8"/>
  <c r="E164" i="8" s="1"/>
  <c r="E168" i="8" s="1"/>
  <c r="H35" i="5"/>
  <c r="H50" i="5" s="1"/>
  <c r="I70" i="8"/>
  <c r="I164" i="8" s="1"/>
  <c r="I168" i="8" s="1"/>
  <c r="F35" i="5"/>
  <c r="F50" i="5" s="1"/>
  <c r="G70" i="8"/>
  <c r="G164" i="8" s="1"/>
  <c r="G168" i="8" s="1"/>
  <c r="J35" i="5"/>
  <c r="J50" i="5" s="1"/>
  <c r="K70" i="8"/>
  <c r="K164" i="8" s="1"/>
  <c r="K168" i="8" s="1"/>
  <c r="M170" i="8"/>
  <c r="L51" i="5"/>
  <c r="L52" i="5" s="1"/>
  <c r="L170" i="8"/>
  <c r="K51" i="5"/>
  <c r="K52" i="5" s="1"/>
  <c r="J170" i="8"/>
  <c r="I51" i="5"/>
  <c r="I52" i="5" s="1"/>
  <c r="F170" i="8"/>
  <c r="E51" i="5"/>
  <c r="E52" i="5" s="1"/>
  <c r="C52" i="5"/>
  <c r="C53" i="5" s="1"/>
  <c r="H170" i="8"/>
  <c r="G51" i="5"/>
  <c r="G52" i="5" s="1"/>
  <c r="K169" i="8"/>
  <c r="I169" i="8"/>
  <c r="F169" i="8"/>
  <c r="J169" i="8"/>
  <c r="L169" i="8"/>
  <c r="G169" i="8"/>
  <c r="H169" i="8"/>
  <c r="D169" i="8"/>
  <c r="D170" i="8"/>
  <c r="O168" i="8"/>
  <c r="Y16" i="9"/>
  <c r="Y23" i="9" s="1"/>
  <c r="X16" i="9"/>
  <c r="X23" i="9" s="1"/>
  <c r="S16" i="9"/>
  <c r="S23" i="9" s="1"/>
  <c r="R16" i="9"/>
  <c r="R23" i="9" s="1"/>
  <c r="I16" i="9"/>
  <c r="I23" i="9" s="1"/>
  <c r="J16" i="9"/>
  <c r="J23" i="9" s="1"/>
  <c r="V16" i="9"/>
  <c r="V23" i="9" s="1"/>
  <c r="U16" i="9"/>
  <c r="U23" i="9" s="1"/>
  <c r="AB16" i="9"/>
  <c r="AB23" i="9" s="1"/>
  <c r="AA16" i="9"/>
  <c r="AA23" i="9" s="1"/>
  <c r="L16" i="9"/>
  <c r="L23" i="9" s="1"/>
  <c r="M16" i="9"/>
  <c r="M23" i="9" s="1"/>
  <c r="G16" i="9"/>
  <c r="G23" i="9" s="1"/>
  <c r="F16" i="9"/>
  <c r="F23" i="9" s="1"/>
  <c r="AD16" i="9"/>
  <c r="AD23" i="9" s="1"/>
  <c r="P16" i="9"/>
  <c r="P23" i="9" s="1"/>
  <c r="O16" i="9"/>
  <c r="O23" i="9" s="1"/>
  <c r="AH6" i="9"/>
  <c r="L25" i="5" l="1"/>
  <c r="E169" i="8"/>
  <c r="C16" i="9"/>
  <c r="C23" i="9" s="1"/>
  <c r="O166" i="8"/>
  <c r="O169" i="8" s="1"/>
  <c r="F171" i="8"/>
  <c r="E5" i="6" s="1"/>
  <c r="O170" i="8"/>
  <c r="L171" i="8"/>
  <c r="K20" i="6" s="1"/>
  <c r="H171" i="8"/>
  <c r="G5" i="6" s="1"/>
  <c r="K170" i="8"/>
  <c r="K171" i="8" s="1"/>
  <c r="J5" i="6" s="1"/>
  <c r="J51" i="5"/>
  <c r="J52" i="5" s="1"/>
  <c r="G170" i="8"/>
  <c r="G171" i="8" s="1"/>
  <c r="F51" i="5"/>
  <c r="F52" i="5" s="1"/>
  <c r="I170" i="8"/>
  <c r="I171" i="8" s="1"/>
  <c r="H51" i="5"/>
  <c r="H52" i="5" s="1"/>
  <c r="E170" i="8"/>
  <c r="D51" i="5"/>
  <c r="J171" i="8"/>
  <c r="I5" i="6" s="1"/>
  <c r="D35" i="5"/>
  <c r="D50" i="5" s="1"/>
  <c r="D52" i="5" s="1"/>
  <c r="N32" i="5"/>
  <c r="N35" i="5" s="1"/>
  <c r="N50" i="5" s="1"/>
  <c r="D171" i="8"/>
  <c r="C20" i="6" s="1"/>
  <c r="L20" i="6"/>
  <c r="L5" i="6"/>
  <c r="I20" i="6"/>
  <c r="G20" i="6"/>
  <c r="E20" i="6"/>
  <c r="N51" i="5"/>
  <c r="D53" i="5"/>
  <c r="E53" i="5" s="1"/>
  <c r="N52" i="5"/>
  <c r="AE16" i="9"/>
  <c r="AE23" i="9" s="1"/>
  <c r="AH23" i="9" s="1"/>
  <c r="AH17" i="9"/>
  <c r="E171" i="8" l="1"/>
  <c r="D5" i="6" s="1"/>
  <c r="K5" i="6"/>
  <c r="O171" i="8"/>
  <c r="F53" i="5"/>
  <c r="G53" i="5" s="1"/>
  <c r="H53" i="5" s="1"/>
  <c r="I53" i="5" s="1"/>
  <c r="J53" i="5" s="1"/>
  <c r="K53" i="5" s="1"/>
  <c r="L53" i="5" s="1"/>
  <c r="N53" i="5" s="1"/>
  <c r="J20" i="6"/>
  <c r="C5" i="6"/>
  <c r="H20" i="6"/>
  <c r="H5" i="6"/>
  <c r="F20" i="6"/>
  <c r="F5" i="6"/>
  <c r="AH16" i="9"/>
  <c r="D56" i="3"/>
  <c r="C64" i="5" s="1"/>
  <c r="D67" i="3"/>
  <c r="C65" i="5" s="1"/>
  <c r="D75" i="3"/>
  <c r="C66" i="5" s="1"/>
  <c r="E56" i="3"/>
  <c r="D64" i="5" s="1"/>
  <c r="E67" i="3"/>
  <c r="D65" i="5" s="1"/>
  <c r="E75" i="3"/>
  <c r="D66" i="5" s="1"/>
  <c r="F56" i="3"/>
  <c r="E64" i="5" s="1"/>
  <c r="F67" i="3"/>
  <c r="E65" i="5" s="1"/>
  <c r="F75" i="3"/>
  <c r="E66" i="5" s="1"/>
  <c r="G56" i="3"/>
  <c r="F64" i="5" s="1"/>
  <c r="G67" i="3"/>
  <c r="F65" i="5" s="1"/>
  <c r="G75" i="3"/>
  <c r="F66" i="5" s="1"/>
  <c r="H56" i="3"/>
  <c r="G64" i="5" s="1"/>
  <c r="H67" i="3"/>
  <c r="G65" i="5" s="1"/>
  <c r="H75" i="3"/>
  <c r="G66" i="5" s="1"/>
  <c r="I56" i="3"/>
  <c r="H64" i="5" s="1"/>
  <c r="I67" i="3"/>
  <c r="H65" i="5" s="1"/>
  <c r="I75" i="3"/>
  <c r="H66" i="5" s="1"/>
  <c r="J56" i="3"/>
  <c r="I64" i="5" s="1"/>
  <c r="J67" i="3"/>
  <c r="I65" i="5" s="1"/>
  <c r="J75" i="3"/>
  <c r="I66" i="5" s="1"/>
  <c r="K56" i="3"/>
  <c r="J64" i="5" s="1"/>
  <c r="K67" i="3"/>
  <c r="J65" i="5" s="1"/>
  <c r="K75" i="3"/>
  <c r="J66" i="5" s="1"/>
  <c r="L56" i="3"/>
  <c r="K64" i="5" s="1"/>
  <c r="L67" i="3"/>
  <c r="K65" i="5" s="1"/>
  <c r="L75" i="3"/>
  <c r="K66" i="5" s="1"/>
  <c r="M56" i="3"/>
  <c r="L64" i="5" s="1"/>
  <c r="M67" i="3"/>
  <c r="L65" i="5" s="1"/>
  <c r="M75" i="3"/>
  <c r="L66" i="5" s="1"/>
  <c r="D19" i="3"/>
  <c r="C58" i="5" s="1"/>
  <c r="D30" i="3"/>
  <c r="C59" i="5" s="1"/>
  <c r="D39" i="3"/>
  <c r="C60" i="5" s="1"/>
  <c r="E19" i="3"/>
  <c r="D58" i="5" s="1"/>
  <c r="E30" i="3"/>
  <c r="D59" i="5" s="1"/>
  <c r="E39" i="3"/>
  <c r="D60" i="5" s="1"/>
  <c r="F19" i="3"/>
  <c r="E58" i="5" s="1"/>
  <c r="F30" i="3"/>
  <c r="E59" i="5" s="1"/>
  <c r="F39" i="3"/>
  <c r="E60" i="5" s="1"/>
  <c r="G19" i="3"/>
  <c r="F58" i="5" s="1"/>
  <c r="G30" i="3"/>
  <c r="F59" i="5" s="1"/>
  <c r="G39" i="3"/>
  <c r="F60" i="5" s="1"/>
  <c r="H19" i="3"/>
  <c r="G58" i="5" s="1"/>
  <c r="H30" i="3"/>
  <c r="G59" i="5" s="1"/>
  <c r="H39" i="3"/>
  <c r="G60" i="5" s="1"/>
  <c r="I19" i="3"/>
  <c r="H58" i="5" s="1"/>
  <c r="I30" i="3"/>
  <c r="H59" i="5" s="1"/>
  <c r="I39" i="3"/>
  <c r="H60" i="5" s="1"/>
  <c r="J19" i="3"/>
  <c r="I58" i="5" s="1"/>
  <c r="J30" i="3"/>
  <c r="I59" i="5" s="1"/>
  <c r="J39" i="3"/>
  <c r="I60" i="5" s="1"/>
  <c r="K19" i="3"/>
  <c r="J58" i="5" s="1"/>
  <c r="K30" i="3"/>
  <c r="J59" i="5" s="1"/>
  <c r="K39" i="3"/>
  <c r="J60" i="5" s="1"/>
  <c r="L19" i="3"/>
  <c r="K58" i="5" s="1"/>
  <c r="L30" i="3"/>
  <c r="K59" i="5" s="1"/>
  <c r="L39" i="3"/>
  <c r="K60" i="5" s="1"/>
  <c r="M19" i="3"/>
  <c r="L58" i="5" s="1"/>
  <c r="M30" i="3"/>
  <c r="L59" i="5" s="1"/>
  <c r="M39" i="3"/>
  <c r="L60" i="5" s="1"/>
  <c r="N14" i="5"/>
  <c r="C26" i="4"/>
  <c r="D7" i="7" s="1"/>
  <c r="C37" i="4"/>
  <c r="D8" i="7" s="1"/>
  <c r="C52" i="4"/>
  <c r="D9" i="7" s="1"/>
  <c r="C64" i="4"/>
  <c r="D10" i="7" s="1"/>
  <c r="C73" i="4"/>
  <c r="D11" i="7" s="1"/>
  <c r="C14" i="4"/>
  <c r="D6" i="7" s="1"/>
  <c r="C81" i="5"/>
  <c r="M258" i="6"/>
  <c r="L250" i="6"/>
  <c r="K250" i="6"/>
  <c r="J250" i="6"/>
  <c r="I250" i="6"/>
  <c r="H250" i="6"/>
  <c r="G250" i="6"/>
  <c r="F250" i="6"/>
  <c r="E250" i="6"/>
  <c r="D250" i="6"/>
  <c r="C250" i="6"/>
  <c r="L256" i="6"/>
  <c r="K256" i="6"/>
  <c r="J256" i="6"/>
  <c r="I256" i="6"/>
  <c r="H256" i="6"/>
  <c r="G256" i="6"/>
  <c r="F256" i="6"/>
  <c r="E256" i="6"/>
  <c r="D256" i="6"/>
  <c r="C256" i="6"/>
  <c r="M260" i="6"/>
  <c r="M259" i="6"/>
  <c r="M257" i="6"/>
  <c r="O5" i="3"/>
  <c r="O6" i="3"/>
  <c r="O7" i="3"/>
  <c r="O8" i="3"/>
  <c r="O9" i="3"/>
  <c r="O10" i="3"/>
  <c r="O11" i="3"/>
  <c r="O12" i="3"/>
  <c r="O13" i="3"/>
  <c r="O14" i="3"/>
  <c r="O15" i="3"/>
  <c r="O16" i="3"/>
  <c r="O17" i="3"/>
  <c r="O21" i="3"/>
  <c r="O22" i="3"/>
  <c r="O23" i="3"/>
  <c r="O24" i="3"/>
  <c r="O25" i="3"/>
  <c r="O26" i="3"/>
  <c r="O27" i="3"/>
  <c r="O28" i="3"/>
  <c r="O32" i="3"/>
  <c r="O33" i="3"/>
  <c r="O34" i="3"/>
  <c r="O35" i="3"/>
  <c r="O36" i="3"/>
  <c r="O37" i="3"/>
  <c r="D40" i="3"/>
  <c r="D41" i="3" s="1"/>
  <c r="E41" i="3" s="1"/>
  <c r="E40" i="3"/>
  <c r="I40" i="3"/>
  <c r="K40" i="3"/>
  <c r="M40" i="3"/>
  <c r="D76" i="3"/>
  <c r="D77" i="3" s="1"/>
  <c r="E77" i="3" s="1"/>
  <c r="E76" i="3"/>
  <c r="F76" i="3"/>
  <c r="G76" i="3"/>
  <c r="I76" i="3"/>
  <c r="J76" i="3"/>
  <c r="K76" i="3"/>
  <c r="M76" i="3"/>
  <c r="O47" i="3"/>
  <c r="O48" i="3"/>
  <c r="O49" i="3"/>
  <c r="O50" i="3"/>
  <c r="O51" i="3"/>
  <c r="O52" i="3"/>
  <c r="O53" i="3"/>
  <c r="O54" i="3"/>
  <c r="O58" i="3"/>
  <c r="O59" i="3"/>
  <c r="O60" i="3"/>
  <c r="O61" i="3"/>
  <c r="O62" i="3"/>
  <c r="O63" i="3"/>
  <c r="O64" i="3"/>
  <c r="O65" i="3"/>
  <c r="O69" i="3"/>
  <c r="O70" i="3"/>
  <c r="O71" i="3"/>
  <c r="O72" i="3"/>
  <c r="O73" i="3"/>
  <c r="D75" i="5"/>
  <c r="D77" i="5"/>
  <c r="D79" i="5"/>
  <c r="D78" i="5"/>
  <c r="D80" i="5"/>
  <c r="D20" i="6" l="1"/>
  <c r="L76" i="3"/>
  <c r="H76" i="3"/>
  <c r="D76" i="5"/>
  <c r="D81" i="5" s="1"/>
  <c r="O56" i="3"/>
  <c r="O76" i="3" s="1"/>
  <c r="L40" i="3"/>
  <c r="J40" i="3"/>
  <c r="H40" i="3"/>
  <c r="F40" i="3"/>
  <c r="G40" i="3"/>
  <c r="F77" i="3"/>
  <c r="G77" i="3" s="1"/>
  <c r="H77" i="3" s="1"/>
  <c r="I77" i="3" s="1"/>
  <c r="J77" i="3" s="1"/>
  <c r="K77" i="3" s="1"/>
  <c r="D12" i="7"/>
  <c r="J67" i="5"/>
  <c r="J19" i="6" s="1"/>
  <c r="J258" i="6" s="1"/>
  <c r="F67" i="5"/>
  <c r="F19" i="6" s="1"/>
  <c r="F28" i="7" s="1"/>
  <c r="N64" i="5"/>
  <c r="N65" i="5"/>
  <c r="K67" i="5"/>
  <c r="K19" i="6" s="1"/>
  <c r="K258" i="6" s="1"/>
  <c r="G67" i="5"/>
  <c r="G19" i="6" s="1"/>
  <c r="G258" i="6" s="1"/>
  <c r="N66" i="5"/>
  <c r="O67" i="3"/>
  <c r="F41" i="3"/>
  <c r="O75" i="3"/>
  <c r="O39" i="3"/>
  <c r="O30" i="3"/>
  <c r="L67" i="5"/>
  <c r="L19" i="6" s="1"/>
  <c r="L258" i="6" s="1"/>
  <c r="I67" i="5"/>
  <c r="I19" i="6" s="1"/>
  <c r="I258" i="6" s="1"/>
  <c r="H67" i="5"/>
  <c r="H19" i="6" s="1"/>
  <c r="H258" i="6" s="1"/>
  <c r="E67" i="5"/>
  <c r="E19" i="6" s="1"/>
  <c r="E28" i="7" s="1"/>
  <c r="D67" i="5"/>
  <c r="D19" i="6" s="1"/>
  <c r="D28" i="7" s="1"/>
  <c r="C67" i="5"/>
  <c r="C68" i="5" s="1"/>
  <c r="C61" i="5"/>
  <c r="C62" i="5" s="1"/>
  <c r="O19" i="3"/>
  <c r="N16" i="5"/>
  <c r="D61" i="5"/>
  <c r="D4" i="6" s="1"/>
  <c r="D252" i="6" s="1"/>
  <c r="N18" i="5"/>
  <c r="N15" i="5"/>
  <c r="N10" i="5"/>
  <c r="N22" i="5"/>
  <c r="N12" i="5"/>
  <c r="F23" i="5"/>
  <c r="N20" i="5"/>
  <c r="N17" i="5"/>
  <c r="F61" i="5"/>
  <c r="F4" i="6" s="1"/>
  <c r="N58" i="5"/>
  <c r="O40" i="3"/>
  <c r="L61" i="5"/>
  <c r="L4" i="6" s="1"/>
  <c r="L252" i="6" s="1"/>
  <c r="J61" i="5"/>
  <c r="J4" i="6" s="1"/>
  <c r="J252" i="6" s="1"/>
  <c r="H61" i="5"/>
  <c r="H4" i="6" s="1"/>
  <c r="H252" i="6" s="1"/>
  <c r="E61" i="5"/>
  <c r="E4" i="6" s="1"/>
  <c r="N60" i="5"/>
  <c r="K61" i="5"/>
  <c r="K4" i="6" s="1"/>
  <c r="K252" i="6" s="1"/>
  <c r="I61" i="5"/>
  <c r="I4" i="6" s="1"/>
  <c r="I252" i="6" s="1"/>
  <c r="G61" i="5"/>
  <c r="G4" i="6" s="1"/>
  <c r="N59" i="5"/>
  <c r="N11" i="5"/>
  <c r="C23" i="5"/>
  <c r="N9" i="5"/>
  <c r="J23" i="5"/>
  <c r="L23" i="5"/>
  <c r="H23" i="5"/>
  <c r="I23" i="5"/>
  <c r="E23" i="5"/>
  <c r="K23" i="5"/>
  <c r="G23" i="5"/>
  <c r="N21" i="5"/>
  <c r="N19" i="5"/>
  <c r="D23" i="5"/>
  <c r="F258" i="6"/>
  <c r="D258" i="6"/>
  <c r="E258" i="6" l="1"/>
  <c r="L77" i="3"/>
  <c r="M77" i="3" s="1"/>
  <c r="O77" i="3" s="1"/>
  <c r="G28" i="7"/>
  <c r="G41" i="3"/>
  <c r="H41" i="3" s="1"/>
  <c r="I41" i="3" s="1"/>
  <c r="J41" i="3" s="1"/>
  <c r="K41" i="3" s="1"/>
  <c r="L41" i="3" s="1"/>
  <c r="M41" i="3" s="1"/>
  <c r="O41" i="3" s="1"/>
  <c r="N67" i="5"/>
  <c r="C19" i="6"/>
  <c r="N19" i="6" s="1"/>
  <c r="H28" i="7" s="1"/>
  <c r="D18" i="7"/>
  <c r="D68" i="5"/>
  <c r="E68" i="5" s="1"/>
  <c r="F68" i="5" s="1"/>
  <c r="G68" i="5" s="1"/>
  <c r="H68" i="5" s="1"/>
  <c r="I68" i="5" s="1"/>
  <c r="J68" i="5" s="1"/>
  <c r="K68" i="5" s="1"/>
  <c r="L68" i="5" s="1"/>
  <c r="N68" i="5" s="1"/>
  <c r="C4" i="6"/>
  <c r="D62" i="5"/>
  <c r="E62" i="5" s="1"/>
  <c r="F62" i="5" s="1"/>
  <c r="G62" i="5" s="1"/>
  <c r="H62" i="5" s="1"/>
  <c r="I62" i="5" s="1"/>
  <c r="J62" i="5" s="1"/>
  <c r="K62" i="5" s="1"/>
  <c r="L62" i="5" s="1"/>
  <c r="N62" i="5" s="1"/>
  <c r="N4" i="6"/>
  <c r="H18" i="7" s="1"/>
  <c r="E252" i="6"/>
  <c r="E18" i="7"/>
  <c r="F252" i="6"/>
  <c r="F18" i="7"/>
  <c r="C28" i="7"/>
  <c r="C258" i="6"/>
  <c r="N258" i="6" s="1"/>
  <c r="G18" i="7"/>
  <c r="G252" i="6"/>
  <c r="N61" i="5"/>
  <c r="N6" i="5"/>
  <c r="N23" i="5"/>
  <c r="D7" i="5"/>
  <c r="D24" i="5" s="1"/>
  <c r="G7" i="5"/>
  <c r="G24" i="5" s="1"/>
  <c r="K7" i="5"/>
  <c r="K24" i="5" s="1"/>
  <c r="C18" i="7" l="1"/>
  <c r="C252" i="6"/>
  <c r="E7" i="5"/>
  <c r="E24" i="5" s="1"/>
  <c r="E26" i="5" s="1"/>
  <c r="L7" i="5"/>
  <c r="L24" i="5" s="1"/>
  <c r="L26" i="5" s="1"/>
  <c r="F7" i="5"/>
  <c r="F24" i="5" s="1"/>
  <c r="F26" i="5" s="1"/>
  <c r="H7" i="5"/>
  <c r="H24" i="5" s="1"/>
  <c r="H26" i="5" s="1"/>
  <c r="N5" i="5"/>
  <c r="K26" i="5"/>
  <c r="G26" i="5"/>
  <c r="I7" i="5"/>
  <c r="I24" i="5" s="1"/>
  <c r="N252" i="6"/>
  <c r="J7" i="5"/>
  <c r="J24" i="5" s="1"/>
  <c r="C7" i="5"/>
  <c r="C24" i="5" s="1"/>
  <c r="K257" i="6" l="1"/>
  <c r="H21" i="6"/>
  <c r="L257" i="6"/>
  <c r="G6" i="6"/>
  <c r="F251" i="6"/>
  <c r="F262" i="6" s="1"/>
  <c r="E257" i="6"/>
  <c r="D26" i="5"/>
  <c r="F257" i="6"/>
  <c r="G21" i="6"/>
  <c r="L6" i="6"/>
  <c r="E19" i="7"/>
  <c r="K6" i="6"/>
  <c r="H251" i="6"/>
  <c r="H262" i="6" s="1"/>
  <c r="J26" i="5"/>
  <c r="I26" i="5"/>
  <c r="N4" i="5"/>
  <c r="N7" i="5" s="1"/>
  <c r="N24" i="5" s="1"/>
  <c r="H6" i="6"/>
  <c r="H257" i="6"/>
  <c r="F19" i="7"/>
  <c r="F6" i="6"/>
  <c r="C26" i="5"/>
  <c r="C27" i="5" s="1"/>
  <c r="G19" i="7"/>
  <c r="L21" i="6"/>
  <c r="K21" i="6"/>
  <c r="N25" i="5"/>
  <c r="E29" i="7" l="1"/>
  <c r="G251" i="6"/>
  <c r="G262" i="6" s="1"/>
  <c r="E21" i="6"/>
  <c r="E30" i="7" s="1"/>
  <c r="D19" i="7"/>
  <c r="D27" i="5"/>
  <c r="E27" i="5" s="1"/>
  <c r="F27" i="5" s="1"/>
  <c r="G27" i="5" s="1"/>
  <c r="H27" i="5" s="1"/>
  <c r="I27" i="5" s="1"/>
  <c r="J27" i="5" s="1"/>
  <c r="K27" i="5" s="1"/>
  <c r="L27" i="5" s="1"/>
  <c r="N27" i="5" s="1"/>
  <c r="J6" i="6"/>
  <c r="D29" i="7"/>
  <c r="F21" i="6"/>
  <c r="F23" i="6" s="1"/>
  <c r="L251" i="6"/>
  <c r="L262" i="6" s="1"/>
  <c r="F29" i="7"/>
  <c r="E251" i="6"/>
  <c r="E262" i="6" s="1"/>
  <c r="G257" i="6"/>
  <c r="E6" i="6"/>
  <c r="E8" i="6" s="1"/>
  <c r="G29" i="7"/>
  <c r="J21" i="6"/>
  <c r="K251" i="6"/>
  <c r="K262" i="6" s="1"/>
  <c r="J257" i="6"/>
  <c r="J251" i="6"/>
  <c r="J262" i="6" s="1"/>
  <c r="H259" i="6"/>
  <c r="H264" i="6" s="1"/>
  <c r="H23" i="6"/>
  <c r="H253" i="6"/>
  <c r="H263" i="6" s="1"/>
  <c r="H8" i="6"/>
  <c r="N26" i="5"/>
  <c r="F8" i="6"/>
  <c r="F253" i="6"/>
  <c r="F263" i="6" s="1"/>
  <c r="F20" i="7"/>
  <c r="D6" i="6"/>
  <c r="K259" i="6"/>
  <c r="K264" i="6" s="1"/>
  <c r="K23" i="6"/>
  <c r="L23" i="6"/>
  <c r="L259" i="6"/>
  <c r="L264" i="6" s="1"/>
  <c r="G8" i="6"/>
  <c r="G253" i="6"/>
  <c r="G263" i="6" s="1"/>
  <c r="G20" i="7"/>
  <c r="K8" i="6"/>
  <c r="K253" i="6"/>
  <c r="K263" i="6" s="1"/>
  <c r="L8" i="6"/>
  <c r="L253" i="6"/>
  <c r="L263" i="6" s="1"/>
  <c r="G30" i="7"/>
  <c r="G23" i="6"/>
  <c r="G259" i="6"/>
  <c r="G264" i="6" s="1"/>
  <c r="E23" i="6" l="1"/>
  <c r="F259" i="6"/>
  <c r="F264" i="6" s="1"/>
  <c r="D251" i="6"/>
  <c r="D262" i="6" s="1"/>
  <c r="E259" i="6"/>
  <c r="E264" i="6" s="1"/>
  <c r="D257" i="6"/>
  <c r="F30" i="7"/>
  <c r="D21" i="6"/>
  <c r="D23" i="6" s="1"/>
  <c r="E253" i="6"/>
  <c r="E263" i="6" s="1"/>
  <c r="E20" i="7"/>
  <c r="I6" i="6"/>
  <c r="I251" i="6"/>
  <c r="I262" i="6" s="1"/>
  <c r="I257" i="6"/>
  <c r="I21" i="6"/>
  <c r="J253" i="6"/>
  <c r="J263" i="6" s="1"/>
  <c r="J8" i="6"/>
  <c r="J23" i="6"/>
  <c r="J259" i="6"/>
  <c r="J264" i="6" s="1"/>
  <c r="D8" i="6"/>
  <c r="D253" i="6"/>
  <c r="D263" i="6" s="1"/>
  <c r="D20" i="7"/>
  <c r="D30" i="7"/>
  <c r="G15" i="6"/>
  <c r="N5" i="6"/>
  <c r="H19" i="7" s="1"/>
  <c r="H15" i="6"/>
  <c r="C6" i="6"/>
  <c r="J15" i="6"/>
  <c r="K15" i="6"/>
  <c r="F15" i="6"/>
  <c r="L15" i="6"/>
  <c r="I15" i="6"/>
  <c r="D15" i="6"/>
  <c r="E15" i="6"/>
  <c r="C251" i="6"/>
  <c r="C19" i="7"/>
  <c r="C15" i="6"/>
  <c r="C257" i="6"/>
  <c r="L30" i="6"/>
  <c r="G30" i="6"/>
  <c r="C30" i="6"/>
  <c r="C29" i="7"/>
  <c r="F30" i="6"/>
  <c r="E30" i="6"/>
  <c r="H30" i="6"/>
  <c r="D30" i="6"/>
  <c r="K30" i="6"/>
  <c r="J30" i="6"/>
  <c r="I30" i="6"/>
  <c r="N20" i="6"/>
  <c r="H29" i="7" s="1"/>
  <c r="C21" i="6"/>
  <c r="N257" i="6" l="1"/>
  <c r="D259" i="6"/>
  <c r="D264" i="6" s="1"/>
  <c r="I253" i="6"/>
  <c r="I263" i="6" s="1"/>
  <c r="I8" i="6"/>
  <c r="I23" i="6"/>
  <c r="I259" i="6"/>
  <c r="I264" i="6" s="1"/>
  <c r="C23" i="6"/>
  <c r="C24" i="6" s="1"/>
  <c r="D24" i="6" s="1"/>
  <c r="E24" i="6" s="1"/>
  <c r="F24" i="6" s="1"/>
  <c r="G24" i="6" s="1"/>
  <c r="H24" i="6" s="1"/>
  <c r="I24" i="6" s="1"/>
  <c r="J24" i="6" s="1"/>
  <c r="K24" i="6" s="1"/>
  <c r="L24" i="6" s="1"/>
  <c r="N21" i="6"/>
  <c r="C22" i="6"/>
  <c r="C259" i="6"/>
  <c r="C30" i="7"/>
  <c r="C262" i="6"/>
  <c r="N262" i="6" s="1"/>
  <c r="N251" i="6"/>
  <c r="N6" i="6"/>
  <c r="C253" i="6"/>
  <c r="C7" i="6"/>
  <c r="C8" i="6"/>
  <c r="C20" i="7"/>
  <c r="C14" i="6" l="1"/>
  <c r="C245" i="6" s="1"/>
  <c r="D7" i="6"/>
  <c r="C21" i="7"/>
  <c r="C12" i="6"/>
  <c r="C13" i="6" s="1"/>
  <c r="C254" i="6"/>
  <c r="N15" i="6"/>
  <c r="H20" i="7"/>
  <c r="C264" i="6"/>
  <c r="N264" i="6" s="1"/>
  <c r="N259" i="6"/>
  <c r="H30" i="7"/>
  <c r="N30" i="6"/>
  <c r="C9" i="6"/>
  <c r="D9" i="6" s="1"/>
  <c r="E9" i="6" s="1"/>
  <c r="F9" i="6" s="1"/>
  <c r="G9" i="6" s="1"/>
  <c r="H9" i="6" s="1"/>
  <c r="I9" i="6" s="1"/>
  <c r="J9" i="6" s="1"/>
  <c r="K9" i="6" s="1"/>
  <c r="L9" i="6" s="1"/>
  <c r="N9" i="6" s="1"/>
  <c r="N8" i="6"/>
  <c r="N253" i="6"/>
  <c r="C263" i="6"/>
  <c r="N263" i="6" s="1"/>
  <c r="C260" i="6"/>
  <c r="C31" i="7"/>
  <c r="D22" i="6"/>
  <c r="C29" i="6"/>
  <c r="C27" i="6"/>
  <c r="C28" i="6" s="1"/>
  <c r="D27" i="6" l="1"/>
  <c r="D28" i="6" s="1"/>
  <c r="D260" i="6"/>
  <c r="D31" i="7"/>
  <c r="E22" i="6"/>
  <c r="D12" i="6"/>
  <c r="D13" i="6" s="1"/>
  <c r="D21" i="7"/>
  <c r="D254" i="6"/>
  <c r="E7" i="6"/>
  <c r="D14" i="6"/>
  <c r="D245" i="6" s="1"/>
  <c r="C22" i="7"/>
  <c r="D29" i="6"/>
  <c r="E21" i="7" l="1"/>
  <c r="F7" i="6"/>
  <c r="E254" i="6"/>
  <c r="E12" i="6"/>
  <c r="E13" i="6" s="1"/>
  <c r="F22" i="6"/>
  <c r="E31" i="7"/>
  <c r="E260" i="6"/>
  <c r="E27" i="6"/>
  <c r="E28" i="6" s="1"/>
  <c r="D22" i="7"/>
  <c r="E14" i="6"/>
  <c r="E245" i="6" s="1"/>
  <c r="F14" i="6" l="1"/>
  <c r="F245" i="6" s="1"/>
  <c r="E22" i="7"/>
  <c r="F21" i="7"/>
  <c r="G7" i="6"/>
  <c r="F254" i="6"/>
  <c r="F12" i="6"/>
  <c r="F13" i="6" s="1"/>
  <c r="G22" i="6"/>
  <c r="F260" i="6"/>
  <c r="F27" i="6"/>
  <c r="F28" i="6" s="1"/>
  <c r="F31" i="7"/>
  <c r="G12" i="6" l="1"/>
  <c r="G13" i="6" s="1"/>
  <c r="H7" i="6"/>
  <c r="G254" i="6"/>
  <c r="G21" i="7"/>
  <c r="G27" i="6"/>
  <c r="G31" i="7"/>
  <c r="G260" i="6"/>
  <c r="H22" i="6"/>
  <c r="F22" i="7"/>
  <c r="G14" i="6"/>
  <c r="G245" i="6" s="1"/>
  <c r="G28" i="6" l="1"/>
  <c r="H14" i="6"/>
  <c r="H245" i="6" s="1"/>
  <c r="G22" i="7"/>
  <c r="I22" i="6"/>
  <c r="H260" i="6"/>
  <c r="H27" i="6"/>
  <c r="H28" i="6" s="1"/>
  <c r="H254" i="6"/>
  <c r="I7" i="6"/>
  <c r="H12" i="6"/>
  <c r="H13" i="6" s="1"/>
  <c r="I12" i="6" l="1"/>
  <c r="I13" i="6" s="1"/>
  <c r="J7" i="6"/>
  <c r="I254" i="6"/>
  <c r="I260" i="6"/>
  <c r="I27" i="6"/>
  <c r="I28" i="6" s="1"/>
  <c r="J22" i="6"/>
  <c r="I14" i="6"/>
  <c r="I245" i="6" s="1"/>
  <c r="J14" i="6" l="1"/>
  <c r="J245" i="6" s="1"/>
  <c r="K22" i="6"/>
  <c r="J27" i="6"/>
  <c r="J260" i="6"/>
  <c r="J12" i="6"/>
  <c r="K7" i="6"/>
  <c r="J254" i="6"/>
  <c r="K14" i="6" l="1"/>
  <c r="K245" i="6" s="1"/>
  <c r="J13" i="6"/>
  <c r="J28" i="6"/>
  <c r="K254" i="6"/>
  <c r="K12" i="6"/>
  <c r="K13" i="6" s="1"/>
  <c r="L7" i="6"/>
  <c r="L22" i="6"/>
  <c r="K260" i="6"/>
  <c r="K27" i="6"/>
  <c r="K28" i="6" s="1"/>
  <c r="E29" i="6" l="1"/>
  <c r="F29" i="6" s="1"/>
  <c r="G29" i="6" s="1"/>
  <c r="H29" i="6" s="1"/>
  <c r="I29" i="6" s="1"/>
  <c r="J29" i="6" s="1"/>
  <c r="K29" i="6" s="1"/>
  <c r="L29" i="6" s="1"/>
  <c r="L254" i="6"/>
  <c r="N254" i="6" s="1"/>
  <c r="N7" i="6"/>
  <c r="H21" i="7" s="1"/>
  <c r="L12" i="6"/>
  <c r="L13" i="6" s="1"/>
  <c r="L260" i="6"/>
  <c r="N260" i="6" s="1"/>
  <c r="L27" i="6"/>
  <c r="L28" i="6" s="1"/>
  <c r="N22" i="6"/>
  <c r="H31" i="7" s="1"/>
  <c r="L14" i="6"/>
  <c r="L245" i="6" s="1"/>
  <c r="N245" i="6" s="1"/>
  <c r="N14" i="6" s="1"/>
  <c r="H22" i="7" s="1"/>
  <c r="N12" i="6" l="1"/>
  <c r="N27" i="6"/>
</calcChain>
</file>

<file path=xl/comments1.xml><?xml version="1.0" encoding="utf-8"?>
<comments xmlns="http://schemas.openxmlformats.org/spreadsheetml/2006/main">
  <authors>
    <author>Rosalyn Hotard</author>
  </authors>
  <commentList>
    <comment ref="B165" authorId="0">
      <text>
        <r>
          <rPr>
            <b/>
            <sz val="10"/>
            <color indexed="81"/>
            <rFont val="Tahoma"/>
            <family val="2"/>
          </rPr>
          <t>% must be 0 or greater.</t>
        </r>
        <r>
          <rPr>
            <sz val="8"/>
            <color indexed="81"/>
            <rFont val="Tahoma"/>
            <family val="2"/>
          </rPr>
          <t xml:space="preserve">
</t>
        </r>
      </text>
    </comment>
    <comment ref="B167" authorId="0">
      <text>
        <r>
          <rPr>
            <b/>
            <sz val="10"/>
            <color indexed="81"/>
            <rFont val="Tahoma"/>
            <family val="2"/>
          </rPr>
          <t>% must be 0 or greater.</t>
        </r>
        <r>
          <rPr>
            <sz val="8"/>
            <color indexed="81"/>
            <rFont val="Tahoma"/>
            <family val="2"/>
          </rPr>
          <t xml:space="preserve">
</t>
        </r>
      </text>
    </comment>
  </commentList>
</comments>
</file>

<file path=xl/comments2.xml><?xml version="1.0" encoding="utf-8"?>
<comments xmlns="http://schemas.openxmlformats.org/spreadsheetml/2006/main">
  <authors>
    <author>Rroussea</author>
  </authors>
  <commentList>
    <comment ref="B64" authorId="0">
      <text>
        <r>
          <rPr>
            <b/>
            <sz val="10"/>
            <color indexed="81"/>
            <rFont val="Tahoma"/>
            <family val="2"/>
          </rPr>
          <t>Registering, licensing, permitting, obtaining authorizations, certifications, benefits, employment, transacting payments</t>
        </r>
      </text>
    </comment>
    <comment ref="B65" authorId="0">
      <text>
        <r>
          <rPr>
            <b/>
            <sz val="10"/>
            <color indexed="81"/>
            <rFont val="Tahoma"/>
            <family val="2"/>
          </rPr>
          <t>Compliance with registering, licensing, permitting, obtaining authorizations, certifications, benefits, employment, transacting payments</t>
        </r>
      </text>
    </comment>
  </commentList>
</comments>
</file>

<file path=xl/comments3.xml><?xml version="1.0" encoding="utf-8"?>
<comments xmlns="http://schemas.openxmlformats.org/spreadsheetml/2006/main">
  <authors>
    <author>Rosalyn Hotard</author>
  </authors>
  <commentList>
    <comment ref="A7" authorId="0">
      <text>
        <r>
          <rPr>
            <b/>
            <sz val="10"/>
            <color indexed="81"/>
            <rFont val="Tahoma"/>
            <family val="2"/>
          </rPr>
          <t>P5 less project IV&amp;V costs (P4-I)</t>
        </r>
        <r>
          <rPr>
            <sz val="9"/>
            <color indexed="81"/>
            <rFont val="Tahoma"/>
            <family val="2"/>
          </rPr>
          <t xml:space="preserve">
</t>
        </r>
      </text>
    </comment>
    <comment ref="A12" authorId="0">
      <text>
        <r>
          <rPr>
            <b/>
            <sz val="10"/>
            <color indexed="81"/>
            <rFont val="Tahoma"/>
            <family val="2"/>
          </rPr>
          <t>P24 less project travel costs (P20)</t>
        </r>
      </text>
    </comment>
  </commentList>
</comments>
</file>

<file path=xl/sharedStrings.xml><?xml version="1.0" encoding="utf-8"?>
<sst xmlns="http://schemas.openxmlformats.org/spreadsheetml/2006/main" count="1574" uniqueCount="760">
  <si>
    <t>Costs that may be incurred if the service provided by the project is not made available at the appropriate time, as governed by legal, government, or regulatory entities (e.g., financial penalties for not providing a federally mandated service).</t>
  </si>
  <si>
    <t>Funding that may be lost if a service or program is not provided, as directed by legal, government, or regulatory entities (e.g., loss of federal matching funds).</t>
  </si>
  <si>
    <t>Revenues from additional taxes, fees, permits, collections, and merchandising</t>
  </si>
  <si>
    <t>Read-only sum of Cost Savings (A14), Cost Avoidance (A23), and Revenue Generation (A30)</t>
  </si>
  <si>
    <t xml:space="preserve">For example, service availability increased from 40-hour work week to 24 x 7 services </t>
  </si>
  <si>
    <t>Lower penalties or better accountability from IT functionality</t>
  </si>
  <si>
    <t>Cumulative total of Benefit/Cost Variance (Net Cash Flow) (RA3)</t>
  </si>
  <si>
    <t>Sum of the discounted (at the cost of capital) cash flows of the project. Calculated at year end as Present Value = (Future Value)/(1+interest)^n. Interest, or Discount Rate, calculated at 5%.</t>
  </si>
  <si>
    <t>Considers project risk factors and provides a preliminary review of factors that may impact the business outcome</t>
  </si>
  <si>
    <t>Constituent: Service Delivery Savings</t>
  </si>
  <si>
    <t>Subtotal Service Delivery Savings</t>
  </si>
  <si>
    <t>Other service delivery improvement (describe)</t>
  </si>
  <si>
    <t>Methods and savings that improve service delivery to constituents</t>
  </si>
  <si>
    <t>Read-only sum of Service Delivery Savings (Lines C1 through C8)</t>
  </si>
  <si>
    <t>Read-only sum of Service Delivery Savings (C9), Regulatory Savings (C18) and Other Savings (C24)</t>
  </si>
  <si>
    <r>
      <t>Score the factors</t>
    </r>
    <r>
      <rPr>
        <sz val="10"/>
        <rFont val="Arial"/>
        <family val="2"/>
      </rPr>
      <t xml:space="preserve"> below according to the following range, as applicable. Select N/A if the project does not propose to supply a value. 
</t>
    </r>
    <r>
      <rPr>
        <b/>
        <sz val="10"/>
        <rFont val="Arial"/>
        <family val="2"/>
      </rPr>
      <t>1</t>
    </r>
    <r>
      <rPr>
        <sz val="10"/>
        <rFont val="Arial"/>
        <family val="2"/>
      </rPr>
      <t xml:space="preserve"> - The factor is either not present and/or of little value to the state, organization, or customer
</t>
    </r>
    <r>
      <rPr>
        <b/>
        <sz val="10"/>
        <rFont val="Arial"/>
        <family val="2"/>
      </rPr>
      <t>3</t>
    </r>
    <r>
      <rPr>
        <sz val="10"/>
        <rFont val="Arial"/>
        <family val="2"/>
      </rPr>
      <t xml:space="preserve"> - The factor is being considered and/or has moderate value to the state, organization, or customer 
</t>
    </r>
    <r>
      <rPr>
        <b/>
        <sz val="10"/>
        <rFont val="Arial"/>
        <family val="2"/>
      </rPr>
      <t>5</t>
    </r>
    <r>
      <rPr>
        <sz val="10"/>
        <rFont val="Arial"/>
        <family val="2"/>
      </rPr>
      <t xml:space="preserve"> - The factor will be delivered in the project and provides high value to the state, organization, or customer
</t>
    </r>
    <r>
      <rPr>
        <b/>
        <sz val="10"/>
        <rFont val="Arial"/>
        <family val="2"/>
      </rPr>
      <t>Factors that are rated as "5" should be accompanied by an explanation of the reasons for rating them, and if possible, metrics by which the value can be quantified. Factors that are designated "Quantifiable" should be rated in accordance with the values produced in the Financial Analysis or other appropriate worksheet.</t>
    </r>
    <r>
      <rPr>
        <sz val="10"/>
        <rFont val="Arial"/>
        <family val="2"/>
      </rPr>
      <t xml:space="preserve">
Based on the results of initial risk consideration for the project, </t>
    </r>
    <r>
      <rPr>
        <b/>
        <sz val="10"/>
        <rFont val="Arial"/>
        <family val="2"/>
      </rPr>
      <t>assign the risk factors</t>
    </r>
    <r>
      <rPr>
        <sz val="10"/>
        <rFont val="Arial"/>
        <family val="2"/>
      </rPr>
      <t xml:space="preserve"> (fifth category) according to the following range:
</t>
    </r>
    <r>
      <rPr>
        <b/>
        <sz val="10"/>
        <rFont val="Arial"/>
        <family val="2"/>
      </rPr>
      <t>1</t>
    </r>
    <r>
      <rPr>
        <sz val="10"/>
        <rFont val="Arial"/>
        <family val="2"/>
      </rPr>
      <t xml:space="preserve"> - The factor has not been considered and is not present and is therefore a risk to the project
</t>
    </r>
    <r>
      <rPr>
        <b/>
        <sz val="10"/>
        <rFont val="Arial"/>
        <family val="2"/>
      </rPr>
      <t>3</t>
    </r>
    <r>
      <rPr>
        <sz val="10"/>
        <rFont val="Arial"/>
        <family val="2"/>
      </rPr>
      <t xml:space="preserve"> - The factor is being considered, an appropriate risk response will be developed and is therefore a moderate risk impact to the project
</t>
    </r>
    <r>
      <rPr>
        <b/>
        <sz val="10"/>
        <rFont val="Arial"/>
        <family val="2"/>
      </rPr>
      <t>5</t>
    </r>
    <r>
      <rPr>
        <sz val="10"/>
        <rFont val="Arial"/>
        <family val="2"/>
      </rPr>
      <t xml:space="preserve"> - The factor has been considered and planned for, an appropriate risk response has been developed and will be managed throughout the project and is therefore a low risk to the project</t>
    </r>
  </si>
  <si>
    <t>1) Statutory Fulfillment (SF)</t>
  </si>
  <si>
    <t>2) Strategic Alignment (SA)</t>
  </si>
  <si>
    <t>3) Agency Impact Analysis (IA)</t>
  </si>
  <si>
    <t>4) Financial Analysis - (Agency/State and Constituent) (FA)</t>
  </si>
  <si>
    <t>6) Alternatives Analysis (AA)</t>
  </si>
  <si>
    <t>5) Initial Risk Consideration (RC)</t>
  </si>
  <si>
    <t>Cumulative Net Benefits (Cumulative Net Cash Flow)</t>
  </si>
  <si>
    <t>Total, All Factors</t>
  </si>
  <si>
    <t>Constituent Net Flow</t>
  </si>
  <si>
    <t>Benefit/Cost Variance (Net Cash Flow)</t>
  </si>
  <si>
    <t>Net Cash Flow</t>
  </si>
  <si>
    <t>Benefit/Cost Variance</t>
  </si>
  <si>
    <t>Breakeven Period Lookup</t>
  </si>
  <si>
    <t>Breakeven Lookup Table</t>
  </si>
  <si>
    <t>Breakeven Period (Years 1-10)</t>
  </si>
  <si>
    <t>Cumulative Total of Benefit/Cost Variance (VA3)</t>
  </si>
  <si>
    <t xml:space="preserve"> Agency Benefits (Cash Inflow)</t>
  </si>
  <si>
    <t xml:space="preserve"> Constituent Benefits</t>
  </si>
  <si>
    <t>Constituent Benefits</t>
  </si>
  <si>
    <t>Equal to Total Quantitative Benefits (Agency/State) (Line A31)</t>
  </si>
  <si>
    <t>Equal to Total Quantitative Benefits (Constituent) (Line C25)</t>
  </si>
  <si>
    <t>Implementation</t>
  </si>
  <si>
    <t>Controls for access to sensitive information are in place</t>
  </si>
  <si>
    <t>SA8</t>
  </si>
  <si>
    <t>Factor</t>
  </si>
  <si>
    <t>Strategic Alignment</t>
  </si>
  <si>
    <t>Statutory Fulfillment</t>
  </si>
  <si>
    <t>Benefit Analysis: Quantitative Project Benefits</t>
  </si>
  <si>
    <t>Total, Statutory Fulfillment</t>
  </si>
  <si>
    <t>Total, Strategic Alignment</t>
  </si>
  <si>
    <t>SF1</t>
  </si>
  <si>
    <t>SF2</t>
  </si>
  <si>
    <t>SF3</t>
  </si>
  <si>
    <t>SF4</t>
  </si>
  <si>
    <t>SF5</t>
  </si>
  <si>
    <t>SF6</t>
  </si>
  <si>
    <t>SA1</t>
  </si>
  <si>
    <t>SA2</t>
  </si>
  <si>
    <t>SA3</t>
  </si>
  <si>
    <t>SA4</t>
  </si>
  <si>
    <t>Total, Financial Analysis</t>
  </si>
  <si>
    <t>FA1</t>
  </si>
  <si>
    <t>FA2</t>
  </si>
  <si>
    <t>FA3</t>
  </si>
  <si>
    <t>FA4</t>
  </si>
  <si>
    <t>FA5</t>
  </si>
  <si>
    <t>FA6</t>
  </si>
  <si>
    <t>FA7</t>
  </si>
  <si>
    <t>FA8</t>
  </si>
  <si>
    <t>AA1</t>
  </si>
  <si>
    <t>AA2</t>
  </si>
  <si>
    <t>AA3</t>
  </si>
  <si>
    <t>AA4</t>
  </si>
  <si>
    <t>AA5</t>
  </si>
  <si>
    <t>AA6</t>
  </si>
  <si>
    <t>SA5</t>
  </si>
  <si>
    <t>SA6</t>
  </si>
  <si>
    <t xml:space="preserve"> </t>
  </si>
  <si>
    <t>The project results in greater ease of use for constituents because of fewer interactions required and presentation is organized around consumer</t>
  </si>
  <si>
    <t>Discount Rate</t>
  </si>
  <si>
    <t>Category</t>
  </si>
  <si>
    <t>Year 1</t>
  </si>
  <si>
    <t>Year 2</t>
  </si>
  <si>
    <t>Year 3</t>
  </si>
  <si>
    <t>Year 4</t>
  </si>
  <si>
    <t>Year 5</t>
  </si>
  <si>
    <t>Year 6</t>
  </si>
  <si>
    <t>Year 7</t>
  </si>
  <si>
    <t>Year 8</t>
  </si>
  <si>
    <t>Year 9</t>
  </si>
  <si>
    <t>Year 10</t>
  </si>
  <si>
    <t>Revenue Generation</t>
  </si>
  <si>
    <t>Total</t>
  </si>
  <si>
    <t>Line</t>
  </si>
  <si>
    <t>Description</t>
  </si>
  <si>
    <t>Statewide Value of Investment</t>
  </si>
  <si>
    <t>Explanation for Factors Rated "5"</t>
  </si>
  <si>
    <t>FA9</t>
  </si>
  <si>
    <t>FA10</t>
  </si>
  <si>
    <t xml:space="preserve">The selected alternative, as compared with the alternatives examined, represents the best value to the state </t>
  </si>
  <si>
    <t>The project is supported by a comprehensive examination of alternative solutions (minimum of 3), such that, the same information set is examined for each alternative</t>
  </si>
  <si>
    <t>The criteria for selecting the project is consistent with the Business Case instructions</t>
  </si>
  <si>
    <t>The alternative solutions are described in detail along with the rationale for choosing or not choosing them</t>
  </si>
  <si>
    <t>The analysis of alternatives describes market research that was conducted to identify innovative project solutions (e.g., issued an RFI to collect information on solutions to evaluate, examined comparable initiatives implemented by other state agencies or other states)</t>
  </si>
  <si>
    <t>The analysis of alternatives summarizes the results of the agency's project cost analysis performed for each alternative and the underlying assumptions</t>
  </si>
  <si>
    <t>SA7</t>
  </si>
  <si>
    <t>Summary: Quantitative Project Benefits</t>
  </si>
  <si>
    <t>SA9</t>
  </si>
  <si>
    <t>FA11</t>
  </si>
  <si>
    <t>FA12</t>
  </si>
  <si>
    <t>Alternatives Analysis</t>
  </si>
  <si>
    <t>Cumulative Net Cash Flow</t>
  </si>
  <si>
    <t>Table of Contents</t>
  </si>
  <si>
    <t>The IT organization and technology environment are stable enough to achieve and sustain the project goals</t>
  </si>
  <si>
    <t>Historical data has been reviewed to help identify the impact and probability of risk occurrence</t>
  </si>
  <si>
    <t>The executive sponsor is at the senior management level and is assigned the specific accountability for achieving all of the defined project objectives within the time and with the resources allocated</t>
  </si>
  <si>
    <t>Project performance and expenditures will be measured at regular intervals against projected benefits and ROI</t>
  </si>
  <si>
    <t>The project will not expose agency resources to untrusted users and/or networks</t>
  </si>
  <si>
    <t>The project roles will include verification and validation and quality assurance functions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</si>
  <si>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</si>
  <si>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</si>
  <si>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</si>
  <si>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</si>
  <si>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</si>
  <si>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</si>
  <si>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</si>
  <si>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</si>
  <si>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</si>
  <si>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</si>
  <si>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</si>
  <si>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</si>
  <si>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</si>
  <si>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</si>
  <si>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</si>
  <si>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</si>
  <si>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</si>
  <si>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</si>
  <si>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</si>
  <si>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</si>
  <si>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</si>
  <si>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</si>
  <si>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</si>
  <si>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</si>
  <si>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The project reduces agency staff or allows staff reassignment through efficiencies such as:
  -  requiring fewer staff to do the work
  -  reducing or eliminating manual processes and/or paperwork
  -  reducing the turnaround time for business processes
(Quantifiable)</t>
  </si>
  <si>
    <t>The project improves/reduces the use of existing resources (hardware, software, runtime) (Quantifiable)</t>
  </si>
  <si>
    <t>The project results in a lower cost of transacting services for constituents (Quantifiable)</t>
  </si>
  <si>
    <t>The project improves the agency's ability to increase collections or other revenue generation (Quantifiable)</t>
  </si>
  <si>
    <t>A19-A22</t>
  </si>
  <si>
    <t>A26-A29</t>
  </si>
  <si>
    <t>RA1</t>
  </si>
  <si>
    <t>RA2</t>
  </si>
  <si>
    <t>RA3</t>
  </si>
  <si>
    <t>RA4</t>
  </si>
  <si>
    <t>RA5</t>
  </si>
  <si>
    <t>RA6</t>
  </si>
  <si>
    <t>RA7</t>
  </si>
  <si>
    <t>RA8</t>
  </si>
  <si>
    <t>VA1</t>
  </si>
  <si>
    <t>VA2</t>
  </si>
  <si>
    <t>VA3</t>
  </si>
  <si>
    <t>VA4</t>
  </si>
  <si>
    <t>VA5</t>
  </si>
  <si>
    <t>VA6</t>
  </si>
  <si>
    <t>VA7</t>
  </si>
  <si>
    <t>VA8</t>
  </si>
  <si>
    <t>IA1</t>
  </si>
  <si>
    <t>IA2</t>
  </si>
  <si>
    <t>IA3</t>
  </si>
  <si>
    <t>IA4</t>
  </si>
  <si>
    <t>IA5</t>
  </si>
  <si>
    <t>IA6</t>
  </si>
  <si>
    <t>IA7</t>
  </si>
  <si>
    <t>SF</t>
  </si>
  <si>
    <t>SA</t>
  </si>
  <si>
    <t>IA</t>
  </si>
  <si>
    <t>FA</t>
  </si>
  <si>
    <t>AA</t>
  </si>
  <si>
    <t>Any other reduction in technology- or program-related costs that will result from implementation of the project</t>
  </si>
  <si>
    <t>Financial Analysis</t>
  </si>
  <si>
    <t>Registering, licensing, permitting, obtaining authorizations, certifications, benefits, employment, transacting payments</t>
  </si>
  <si>
    <t>Cumulative total of Net Present Value (RA5)</t>
  </si>
  <si>
    <t>Cumulative Quantitative Benefits (Agency/State)</t>
  </si>
  <si>
    <t>Total Quantitative Benefits (Agency/State)</t>
  </si>
  <si>
    <t>Total Quantitative Benefits (Constituent)</t>
  </si>
  <si>
    <t>Cumulative Quantitative Benefits (Constituent)</t>
  </si>
  <si>
    <t>C26</t>
  </si>
  <si>
    <t>C5-C8</t>
  </si>
  <si>
    <t>C14-C17</t>
  </si>
  <si>
    <t>C19-C23</t>
  </si>
  <si>
    <t>Reduced costs incurred by customers or clients to obtain services or products, through registering, licensing, permitting, obtaining authorizations, certifications, benefits, employment, transacting payments. Time, resources expended in traveling to government offices to apply for or obtain services; reduced customer service wait time. (Time spent initiating, checking status or other follow up with agency representative on service request.)</t>
  </si>
  <si>
    <t>Time elapsed from service initiation to delivery (total cycle time reduction)</t>
  </si>
  <si>
    <t>For example, access to one-stop service delivery</t>
  </si>
  <si>
    <t>Subtotal Regulatory Savings</t>
  </si>
  <si>
    <t>Subtotal Other Savings</t>
  </si>
  <si>
    <t>Other savings (describe)</t>
  </si>
  <si>
    <t>Constituent: Service Level Savings</t>
  </si>
  <si>
    <t>Constituent: Regulatory Savings</t>
  </si>
  <si>
    <t>Constituent: Other Savings</t>
  </si>
  <si>
    <t>Fulfills business mandates and strategies from federal, state, or other statutes or rules</t>
  </si>
  <si>
    <t>Aligns with the State Strategic Plan for Information Resources Management and the agency’s strategic plan</t>
  </si>
  <si>
    <t>Emerges above other IT project alternatives as a result of applying a consistent method for analysis and selection</t>
  </si>
  <si>
    <t>Consider replacement value and likelihood of loss</t>
  </si>
  <si>
    <t>Other Cost Savings (describe)</t>
  </si>
  <si>
    <t>Reduction in professional services needed to support the program area and/or reduction in contract development and maintenance personnel needed by the agency</t>
  </si>
  <si>
    <t>Reduction in outsourcing costs</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</si>
  <si>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</si>
  <si>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</si>
  <si>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</si>
  <si>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</si>
  <si>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</si>
  <si>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</si>
  <si>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</si>
  <si>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</si>
  <si>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</si>
  <si>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</si>
  <si>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</si>
  <si>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</si>
  <si>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</si>
  <si>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</si>
  <si>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</si>
  <si>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</si>
  <si>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</si>
  <si>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</si>
  <si>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</si>
  <si>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</si>
  <si>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</si>
  <si>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</si>
  <si>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</si>
  <si>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</si>
  <si>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</si>
  <si>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</si>
  <si>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</si>
  <si>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</si>
  <si>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</si>
  <si>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</si>
  <si>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</si>
  <si>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</si>
  <si>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Agency and State Benefits</t>
  </si>
  <si>
    <t>A10-A13</t>
  </si>
  <si>
    <t>All hardware procured specifically for this project</t>
  </si>
  <si>
    <t>All software procured specifically for this project</t>
  </si>
  <si>
    <t>P25</t>
  </si>
  <si>
    <t>P26</t>
  </si>
  <si>
    <t>Agency Personnel and Contractor Costs</t>
  </si>
  <si>
    <t>Cost Analysis</t>
  </si>
  <si>
    <t>Quantitative Benefit Analysis</t>
  </si>
  <si>
    <t>Line Item Descriptions</t>
  </si>
  <si>
    <t>Other</t>
  </si>
  <si>
    <t xml:space="preserve">Policy and Procedures </t>
  </si>
  <si>
    <t>Training</t>
  </si>
  <si>
    <t>Database Administration</t>
  </si>
  <si>
    <t>System Operations</t>
  </si>
  <si>
    <t>Technical Support</t>
  </si>
  <si>
    <t>Help Desk Personnel</t>
  </si>
  <si>
    <t>Network Administration</t>
  </si>
  <si>
    <t>Project Management/Administration</t>
  </si>
  <si>
    <t>System Test</t>
  </si>
  <si>
    <t>Conversion</t>
  </si>
  <si>
    <t>Documentation</t>
  </si>
  <si>
    <t>Warranty/Maintenance Period</t>
  </si>
  <si>
    <t>Requirements</t>
  </si>
  <si>
    <t>Design</t>
  </si>
  <si>
    <t>Development/Programming</t>
  </si>
  <si>
    <t>Total Project Costs</t>
  </si>
  <si>
    <t>Cumulative Net Present Value</t>
  </si>
  <si>
    <t>Subtotal Project Costs</t>
  </si>
  <si>
    <t>Reduced outsourced labor costs</t>
  </si>
  <si>
    <t>Subtotal Revenue Generation</t>
  </si>
  <si>
    <t>Subtotal Cost Avoidance</t>
  </si>
  <si>
    <t>Avoid loss of funding</t>
  </si>
  <si>
    <t>Avoid penalties</t>
  </si>
  <si>
    <t>Reduced facilities rental/maintenance expense</t>
  </si>
  <si>
    <t>Hardware - Mainframe</t>
  </si>
  <si>
    <t>Hardware - Unix Server</t>
  </si>
  <si>
    <t>Hardware - Intel Server</t>
  </si>
  <si>
    <t>Hardware - Storage</t>
  </si>
  <si>
    <t>Hardware - Desktop</t>
  </si>
  <si>
    <t>Hardware - Network</t>
  </si>
  <si>
    <t>Software - Mainframe</t>
  </si>
  <si>
    <t>Software - Unix Server</t>
  </si>
  <si>
    <t>Software - Intel Server</t>
  </si>
  <si>
    <t>Software - Storage</t>
  </si>
  <si>
    <t>Software - Desktop</t>
  </si>
  <si>
    <t>Software - Network</t>
  </si>
  <si>
    <t>Item</t>
  </si>
  <si>
    <t>Rating</t>
  </si>
  <si>
    <t>N/A</t>
  </si>
  <si>
    <t>C1</t>
  </si>
  <si>
    <t>C2</t>
  </si>
  <si>
    <t>C3</t>
  </si>
  <si>
    <t>C4</t>
  </si>
  <si>
    <t>C5</t>
  </si>
  <si>
    <t>C6</t>
  </si>
  <si>
    <t>Improved workflow/business processes</t>
  </si>
  <si>
    <t>Asset protection</t>
  </si>
  <si>
    <t>Additional revenue generated</t>
  </si>
  <si>
    <t>Reduced hardware maintenance/upgrade expense</t>
  </si>
  <si>
    <t>Reduced software maintenance/upgrade expense</t>
  </si>
  <si>
    <t>Cost Savings: Improved Efficiency / Productivity</t>
  </si>
  <si>
    <t>Reduced IT and non-IT contractors/consultants</t>
  </si>
  <si>
    <t>Reduced IT and non-IT FTE costs including fringe benefits</t>
  </si>
  <si>
    <t>Subtotal Cost Savings</t>
  </si>
  <si>
    <t>Cost Avoidance: Compliance / Protection</t>
  </si>
  <si>
    <t>Other cost avoidance (describe)</t>
  </si>
  <si>
    <t>Other cost savings (describe)</t>
  </si>
  <si>
    <t>Reduced equipment rental/supplies and materials expense</t>
  </si>
  <si>
    <t>Other revenue generation (describe)</t>
  </si>
  <si>
    <t>Constituent (Social, Business, Environmental) Benefits</t>
  </si>
  <si>
    <t>C7</t>
  </si>
  <si>
    <t>C8</t>
  </si>
  <si>
    <t>C9</t>
  </si>
  <si>
    <t>Constituent - Regulatory</t>
  </si>
  <si>
    <t>C10</t>
  </si>
  <si>
    <t>C11</t>
  </si>
  <si>
    <t>C12</t>
  </si>
  <si>
    <t>C13</t>
  </si>
  <si>
    <t>C14</t>
  </si>
  <si>
    <t>Net Present Value</t>
  </si>
  <si>
    <t>Other regulatory improvement (describe)</t>
  </si>
  <si>
    <t>C15</t>
  </si>
  <si>
    <t>C16</t>
  </si>
  <si>
    <t>C17</t>
  </si>
  <si>
    <t>C18</t>
  </si>
  <si>
    <t>Expansion of services</t>
  </si>
  <si>
    <t>Reduced error rate</t>
  </si>
  <si>
    <t>Increased interest earned</t>
  </si>
  <si>
    <t>Improved enforcement actions</t>
  </si>
  <si>
    <t>Improved accountability/compliance</t>
  </si>
  <si>
    <t>Reduced (paper) reporting requirements</t>
  </si>
  <si>
    <t>Improved ability to locate regulatory requirements</t>
  </si>
  <si>
    <t>Greater consistency in constituent/state transactions</t>
  </si>
  <si>
    <t>Reduced constituent transaction costs</t>
  </si>
  <si>
    <t>C19</t>
  </si>
  <si>
    <t>C20</t>
  </si>
  <si>
    <t>C21</t>
  </si>
  <si>
    <t>C22</t>
  </si>
  <si>
    <t>C23</t>
  </si>
  <si>
    <t>C24</t>
  </si>
  <si>
    <t>C25</t>
  </si>
  <si>
    <t>Reduced service delivery cycle time</t>
  </si>
  <si>
    <t>Increased service availability/accessibility</t>
  </si>
  <si>
    <t>Financial Analysis - Government/Constituent</t>
  </si>
  <si>
    <t>SF7</t>
  </si>
  <si>
    <t>The project results in a new service that provides additional value to a constituent or a prospective employer</t>
  </si>
  <si>
    <t>The project results in constituents having their needs met with fewer contacts to government or fewer interactions with government employees (Quantifiable)</t>
  </si>
  <si>
    <t>Agency Impact Analysis</t>
  </si>
  <si>
    <t>Oversight reviews by a senior steering committee are planned at key milestones</t>
  </si>
  <si>
    <t>Agency/State</t>
  </si>
  <si>
    <t>Constituent</t>
  </si>
  <si>
    <t>Evaluation Factors</t>
  </si>
  <si>
    <t>Summary: Evaluation Factors</t>
  </si>
  <si>
    <t>Cost-Benefit Summary</t>
  </si>
  <si>
    <t>The Evaluation Factors Worksheet attempts to quantify the value of intangible benefits and other factors that enable successful delivery and outcome of the project.</t>
  </si>
  <si>
    <t>Cumulative Net Benefits</t>
  </si>
  <si>
    <t>Length of time required for the cumulative net benefits to equal zero</t>
  </si>
  <si>
    <t>Initial Risk Consideration</t>
  </si>
  <si>
    <t>RC</t>
  </si>
  <si>
    <t>RC1</t>
  </si>
  <si>
    <t>RC2</t>
  </si>
  <si>
    <t>RC3</t>
  </si>
  <si>
    <t>RC4</t>
  </si>
  <si>
    <t>RC5</t>
  </si>
  <si>
    <t>RC6</t>
  </si>
  <si>
    <t>RC7</t>
  </si>
  <si>
    <t>RC8</t>
  </si>
  <si>
    <t>RC9</t>
  </si>
  <si>
    <t>Total, Initial Risk Consideration</t>
  </si>
  <si>
    <t>Reduced research time and "chasing down dead ends" due to simplified access to regulatory requirements</t>
  </si>
  <si>
    <t>Reduced processes to achieve enforcement outcomes based on IT functionality</t>
  </si>
  <si>
    <t>Savings related to reduced errors in reporting and processing due to error detection mechanisms in IT functionality</t>
  </si>
  <si>
    <t>From deposits -- federal and state</t>
  </si>
  <si>
    <t>Cumulative Net Flow</t>
  </si>
  <si>
    <t>Net Flow (Variance)</t>
  </si>
  <si>
    <t>Breakeven (Years 1-10)</t>
  </si>
  <si>
    <t>Read-only sum of Cost Savings (Lines A1 through A13)</t>
  </si>
  <si>
    <t>Read-only sum of Cost Avoidance (Lines A15 through A22)</t>
  </si>
  <si>
    <t>Read-only sum of Regulatory Savings (Lines C10 through C17)</t>
  </si>
  <si>
    <t>Read-only sum of Other Savings (Lines C19 through C23)</t>
  </si>
  <si>
    <t xml:space="preserve">Read-only cumulative sum of Total Quantitative Benefits (Constituent) (C25) </t>
  </si>
  <si>
    <t>Impacts use of IT resources at the enterprise level</t>
  </si>
  <si>
    <t>Methods and savings that improve constituent compliance</t>
  </si>
  <si>
    <t>Methods and savings that improve other service delivery to constituents</t>
  </si>
  <si>
    <t xml:space="preserve">Savings from other types of cost avoidance </t>
  </si>
  <si>
    <t>Revenue generated from other sources</t>
  </si>
  <si>
    <t xml:space="preserve">Read-only cumulative sum of Total Quantitative Benefits (Agency/State) (A31) </t>
  </si>
  <si>
    <t>Read-only sum of Revenue Generation (Lines A24 through A29)</t>
  </si>
  <si>
    <t>Financial Return on Investment</t>
  </si>
  <si>
    <t>Agency Benefits</t>
  </si>
  <si>
    <t xml:space="preserve">  -  support the defined architecture/standards for the agency and state</t>
  </si>
  <si>
    <t>The project results in system(s) which:</t>
  </si>
  <si>
    <t xml:space="preserve">  -  reduce or eliminate redundant systems</t>
  </si>
  <si>
    <t xml:space="preserve">  -  improve consistency between systems within the agency through standardization</t>
  </si>
  <si>
    <t xml:space="preserve">  -  leverage the technical capability of commercial-off-the-shelf (COTS) software packages</t>
  </si>
  <si>
    <t xml:space="preserve">  -  reduce integration complexity</t>
  </si>
  <si>
    <t>Breakeven Point (Years 1-10)</t>
  </si>
  <si>
    <t>Project NPV:
Greater than 0 = 5; Equal to 0 = 3; Less than 0 = 1 (Quantifiable)</t>
  </si>
  <si>
    <t>Project Benefits (Constituents): 
Greater than project cost = 5; Equal to project cost = 3; Less than project cost = 1 (Quantifiable)</t>
  </si>
  <si>
    <t>Project Return on Investment (Agency/State):
Greater than 70% = 5; Range between 20-69% = 3; Less than 20% = 1 (Quantifiable)</t>
  </si>
  <si>
    <t>Project Breakeven Point (Agency/State): 
Years 1-3 = 5; Years 4-6 = 3; Years 7-10 (or beyond) = 1 (Quantifiable)</t>
  </si>
  <si>
    <t>Total, Agency Impact Analysis</t>
  </si>
  <si>
    <t>Total, Alternatives Analysis</t>
  </si>
  <si>
    <t>The project is implemented to satisfy a direct mandate or regulation (state, federal, national, international)</t>
  </si>
  <si>
    <t>The project is implemented to satisfy a derived mandate or regulation (state, federal, national, international)</t>
  </si>
  <si>
    <t>Implementing the project improves the turnaround time for responses to mandates or regulatory requirements</t>
  </si>
  <si>
    <t xml:space="preserve">The project results in agency compliance to mandates or regulatory requirements </t>
  </si>
  <si>
    <t>Implementing the project achieves the desired intent or expected outcomes of the mandates or regulatory requirements</t>
  </si>
  <si>
    <t>Implementing the project imposes stricter requirements, or different or additional requirements, than those required by the mandates or regulations</t>
  </si>
  <si>
    <t>The project is aligned with, and delivers business outcomes, that support agency and statewide goals</t>
  </si>
  <si>
    <t xml:space="preserve">The project satisfies a strategic agency or state mission critical need, regardless if required by a mandate or regulation </t>
  </si>
  <si>
    <t xml:space="preserve">The project results in the ability of the agency or state to better share resources with other agencies or states as part of a long-term strategic alignment effort </t>
  </si>
  <si>
    <t>The project is aligned with the overall mission of the agency and state</t>
  </si>
  <si>
    <t>The project strategically consolidates and streamlines business practices and administrative processes</t>
  </si>
  <si>
    <t>The project is aligned with the overall vision of the agency and state</t>
  </si>
  <si>
    <t>The project is aligned with the overall priorities of the agency and state</t>
  </si>
  <si>
    <t>Implementing the project achieves the desired intent or expected outcomes of the agency and statewide goals</t>
  </si>
  <si>
    <t xml:space="preserve">The project results in the ability of the agency or state to anticipate and respond to new business needs as part of a long-term strategic alignment effort </t>
  </si>
  <si>
    <t>Comment/
Method for Calculating</t>
  </si>
  <si>
    <t>The Business Case Workbook provides the toolset to develop a thorough financial analysis and justification for an information technology (IT) project. The Workbook is intended to be used in conjunction with the Business Case Template.</t>
  </si>
  <si>
    <r>
      <t xml:space="preserve">Note: Data entry cells are in </t>
    </r>
    <r>
      <rPr>
        <sz val="10"/>
        <color indexed="10"/>
        <rFont val="Arial"/>
        <family val="2"/>
      </rPr>
      <t>red</t>
    </r>
    <r>
      <rPr>
        <sz val="10"/>
        <rFont val="Arial"/>
        <family val="2"/>
      </rPr>
      <t xml:space="preserve"> text. Cells referenced by other worksheets are in </t>
    </r>
    <r>
      <rPr>
        <sz val="10"/>
        <color indexed="12"/>
        <rFont val="Arial"/>
        <family val="2"/>
      </rPr>
      <t>blue</t>
    </r>
    <r>
      <rPr>
        <sz val="10"/>
        <rFont val="Arial"/>
        <family val="2"/>
      </rPr>
      <t xml:space="preserve"> text. Cells calculated or referenced within the same worksheet are in black text. Subtotal, total, and cumulative total cells are in </t>
    </r>
    <r>
      <rPr>
        <b/>
        <sz val="10"/>
        <rFont val="Arial"/>
        <family val="2"/>
      </rPr>
      <t>bold</t>
    </r>
    <r>
      <rPr>
        <sz val="10"/>
        <rFont val="Arial"/>
        <family val="2"/>
      </rPr>
      <t xml:space="preserve"> black text.  </t>
    </r>
  </si>
  <si>
    <t>An overview of the Workbook contents and line item descriptions of the worksheet elements are provided below.  Detailed instructions for these worksheets are provided in the Business Case Instructions.</t>
  </si>
  <si>
    <t>Contains various measures of financial feasibility, including incremental and cumulative Net Cash Flow, Net Present Value (NPV), Breakeven Point, and Financial Return on Investment (ROI)</t>
  </si>
  <si>
    <t>All hardware maintenance and upgrades procured to support this project</t>
  </si>
  <si>
    <t>Cost Savings: Improved Efficiency/Productivity</t>
  </si>
  <si>
    <t>Reduced IT and non-IT FTE costs, including fringe benefits</t>
  </si>
  <si>
    <t>Savings resulting from lower hardware acquisition, maintenance, and upgrade costs</t>
  </si>
  <si>
    <t>Savings resulting from lower software acquisition, maintenance, and upgrade costs</t>
  </si>
  <si>
    <t>Savings resulting from lower facilities acquisition, maintenance, and upgrade costs</t>
  </si>
  <si>
    <t>Savings resulting from lower equipment acquisition, maintenance, and upgrade costs and/or savings from supplies and materials</t>
  </si>
  <si>
    <t>Reduced equipment rental, supplies and materials expense</t>
  </si>
  <si>
    <t>Cost Avoidance: Compliance/Protection</t>
  </si>
  <si>
    <t>Elimination of multiple communication and infrastructure for state staff due to IT functionality</t>
  </si>
  <si>
    <t>Rates the qualitative and quantitative factors that support and justify an IT project, including Statutory Fulfillment, Strategic Alignment, Agency Impact Analysis, Financial Analysis, Initial Risk Consideration, and Alternatives Analysis</t>
  </si>
  <si>
    <t>Quantifies incremental cost savings, cost avoidance, and revenue generation benefits for the agency, as well as service delivery and regulatory savings for constituents</t>
  </si>
  <si>
    <t xml:space="preserve">  -  define business architecture independently from technology solution, enabling the evolution of systems as new technologies emerge.</t>
  </si>
  <si>
    <t>Hardware - Other (describe)</t>
  </si>
  <si>
    <t>Software - Other (describe)</t>
  </si>
  <si>
    <t>P27</t>
  </si>
  <si>
    <t>P28</t>
  </si>
  <si>
    <t>P29</t>
  </si>
  <si>
    <t>Read-only sum of Project Contingency (P27) and Subtotal Project Costs (P26)</t>
  </si>
  <si>
    <t>Business Staff</t>
  </si>
  <si>
    <t xml:space="preserve">IT Staff </t>
  </si>
  <si>
    <t>P4-M</t>
  </si>
  <si>
    <t>P1-M</t>
  </si>
  <si>
    <t>P4-I</t>
  </si>
  <si>
    <t>P1-I</t>
  </si>
  <si>
    <t>Maximum Rating Possible</t>
  </si>
  <si>
    <t>Any reduction of program- or technology-related costs that will result from implementation of the project. Compares project costs for development and operation to savings from factors such as replacement of obsolete systems, improved efficiencies in the agency's IT infrastructure, or improved efficiencies in the agency's business processes. (Hourly Rate [see A1] x Number of employees that support business process) x Time Savings (in hours)</t>
  </si>
  <si>
    <t>The project results in agency avoidance of enforcement actions (e.g., penalties) based on mandates or regulatory requirements</t>
  </si>
  <si>
    <t xml:space="preserve">  -  collaborate or reuse business processes or technical components from other state or federal agencies or institutions of higher learning or local governments</t>
  </si>
  <si>
    <t>The project results in a service being available at more convenient times (24x7) or more locations (Quantifiable)</t>
  </si>
  <si>
    <t>The project stakeholders have been identified and their expectations managed throughout the life of the project</t>
  </si>
  <si>
    <t>Summary: All Project Evaluation Factors</t>
  </si>
  <si>
    <t>Total, All Project Factors</t>
  </si>
  <si>
    <t>Financial Analysis: Agency/State</t>
  </si>
  <si>
    <t>Measure</t>
  </si>
  <si>
    <t>Agency Benefits (Cash Inflow)</t>
  </si>
  <si>
    <t>Breakeven Point (Years 1 to 10)</t>
  </si>
  <si>
    <t>Financial Analysis: Constituents</t>
  </si>
  <si>
    <t>10 Year Total</t>
  </si>
  <si>
    <t>Selection Results</t>
  </si>
  <si>
    <t>Provides a summary of project evaluation factors and financial analysis results that should be copied into the Business Case Template. Note, this worksheet is not protected.</t>
  </si>
  <si>
    <t>The following charts should be cut and pasted into Section 6, Project Selection, of the Business Case Template.</t>
  </si>
  <si>
    <t>Information within the Workbook flows from left to right. The first three worksheets after these instructions support data entry; the Cost-Benefit Summary and Financial Analysis worksheets are protected from change because they automatically summarize information from the first three worksheets. The Selection Results worksheet is not protected so the user can copy the required information into the Business Case Template.</t>
  </si>
  <si>
    <t>Other (describe)</t>
  </si>
  <si>
    <t>Subtotal Project Agency Personnel-Maintenance</t>
  </si>
  <si>
    <t>Project Agency Personnel Services - Maintenance</t>
  </si>
  <si>
    <t>Total Project Agency Personnel Costs</t>
  </si>
  <si>
    <t>NP1-M</t>
  </si>
  <si>
    <t>Non-Project/Operational Agency Personnel Services - Maintenance</t>
  </si>
  <si>
    <t>NP2</t>
  </si>
  <si>
    <t>NP3</t>
  </si>
  <si>
    <t>Total Non-Project/Operational Agency Personnel Costs</t>
  </si>
  <si>
    <t>IV&amp;V Costs</t>
  </si>
  <si>
    <t>Project Contract/Consultant Services - Maintenance</t>
  </si>
  <si>
    <t>Subtotal Project Contract/Consultant-Maintenance</t>
  </si>
  <si>
    <t>Total Project Contract/Consultant Services Costs</t>
  </si>
  <si>
    <t>NP4-M</t>
  </si>
  <si>
    <t>Non-Project/Operational Contract/Consultant Services - Maintenance</t>
  </si>
  <si>
    <t>Total Non-Project/Operational Contract/Consultant Services - Maintenance</t>
  </si>
  <si>
    <t>NP5</t>
  </si>
  <si>
    <t>NP6</t>
  </si>
  <si>
    <t>Project Maintenance - Hardware</t>
  </si>
  <si>
    <t>NP9</t>
  </si>
  <si>
    <t>Non-Project/Operational Maintenance - Hardware</t>
  </si>
  <si>
    <t>NP10</t>
  </si>
  <si>
    <t>Project Maintenance - Software</t>
  </si>
  <si>
    <t>NP13</t>
  </si>
  <si>
    <t>Non-Project/Operational Maintenance - Software</t>
  </si>
  <si>
    <t>NP14</t>
  </si>
  <si>
    <t>Project - Other Costs</t>
  </si>
  <si>
    <t>Subtotal Project Other Costs</t>
  </si>
  <si>
    <t>Non-Project/Operational - Other Costs</t>
  </si>
  <si>
    <t>Subtotal Non-Project/Operational Other Costs</t>
  </si>
  <si>
    <t>NP15</t>
  </si>
  <si>
    <t>NP16</t>
  </si>
  <si>
    <t>NP17</t>
  </si>
  <si>
    <t>NP18</t>
  </si>
  <si>
    <t>NP19</t>
  </si>
  <si>
    <t>NP20</t>
  </si>
  <si>
    <t>NP21</t>
  </si>
  <si>
    <t>NP22</t>
  </si>
  <si>
    <t>NP23</t>
  </si>
  <si>
    <t>NP24</t>
  </si>
  <si>
    <t>Total Project Hardware/Software/Other Costs</t>
  </si>
  <si>
    <t>NP25</t>
  </si>
  <si>
    <t>Total Non-Project/Operational Hardware/Software/Other Costs</t>
  </si>
  <si>
    <t>NP26</t>
  </si>
  <si>
    <t>Subtotal Non-Project/Operational Costs</t>
  </si>
  <si>
    <t>NP27</t>
  </si>
  <si>
    <t>NP28</t>
  </si>
  <si>
    <t>Total Non-Project/Operational Costs</t>
  </si>
  <si>
    <t>Total Business Case Cost</t>
  </si>
  <si>
    <t>ITD Calculation</t>
  </si>
  <si>
    <t>Justification for Change</t>
  </si>
  <si>
    <t>Informational Costs (Optional)</t>
  </si>
  <si>
    <t>Total ITD Project Costs</t>
  </si>
  <si>
    <t>Breakeven Point</t>
  </si>
  <si>
    <t>Cost Mapping</t>
  </si>
  <si>
    <t>Agency Additional Information</t>
  </si>
  <si>
    <t xml:space="preserve">Line </t>
  </si>
  <si>
    <t>Project Contingency (% of Subtotal Project Costs)</t>
  </si>
  <si>
    <t>Using the Project Contingency Percentage, calculation will compute % of the Subtotal Project Costs (P26) for project contingencies during development phase</t>
  </si>
  <si>
    <t>NP1</t>
  </si>
  <si>
    <t>Project Agency Personnel Services</t>
  </si>
  <si>
    <t>Project agency personnel costs associated with the proposed project (P1-I = Implementation Costs; P1-M = Maintenance Costs)</t>
  </si>
  <si>
    <t>Non-project agency personnel costs associated with the proposed project (NP1-M = Maintenance Costs)</t>
  </si>
  <si>
    <t>Project Agency Personnel Fringe Benefits</t>
  </si>
  <si>
    <t>Read-only summary of all project agency personnel services categories</t>
  </si>
  <si>
    <t>Read-only summary of all non-project personnel services categories</t>
  </si>
  <si>
    <t>Project Contract/Consultant Services</t>
  </si>
  <si>
    <t>Total Non-Project Contract/Consultant Services Costs</t>
  </si>
  <si>
    <t>Project contract/consultant costs associated with the proposed project for services, excluding hardware/software, maintenance, procurements, and other costs included under Hardware/Systems Costs  (P4-I = Implementation Costs; P4-M = Maintenance Costs)</t>
  </si>
  <si>
    <t>Read-only summary of all non-project contract/consultant services categories</t>
  </si>
  <si>
    <t>Read-only summary of all project contract/consultant services categories</t>
  </si>
  <si>
    <t>Total Project Agency and Contract Personnel Costs</t>
  </si>
  <si>
    <t>Read-only sum of project agency Personnel Costs (P3) and Contract/Consultant Services Costs (P5)</t>
  </si>
  <si>
    <t>Read-only sum of non-project agency Personnel Costs (NP3) and Contract/Consultant Services Costs (NP5)</t>
  </si>
  <si>
    <t>Subtotal Project Hardware Procurement</t>
  </si>
  <si>
    <t>Read-only summary of all project hardware procurement categories</t>
  </si>
  <si>
    <t>Subtotal Project Hardware Maintenance</t>
  </si>
  <si>
    <t>Read-only summary of all project hardware maintenance categories</t>
  </si>
  <si>
    <t>Read-only summary of all non-project hardware maintenance categories</t>
  </si>
  <si>
    <t>Project Procurement - Software</t>
  </si>
  <si>
    <t>Subtotal Project Software Procurement</t>
  </si>
  <si>
    <t>Subtotal Project Software Maintenance</t>
  </si>
  <si>
    <t>Read-only summary of all project software procurement categories</t>
  </si>
  <si>
    <t>All project software maintenance and upgrades procured to support this project</t>
  </si>
  <si>
    <t>Read-only summary of all project software maintenance categories</t>
  </si>
  <si>
    <t>Read-only summary of all non-project software maintenance categories</t>
  </si>
  <si>
    <t>Any additional project costs for data communications to support development and implementation</t>
  </si>
  <si>
    <t>Any additional project costs for voice communications to support development and implementation</t>
  </si>
  <si>
    <t>Any project equipment rental, supplies, and materials required to support development and implementation</t>
  </si>
  <si>
    <t>Any project facilities rental and maintenance expenses incurred to support development and implementation</t>
  </si>
  <si>
    <t>Any project disaster recovery expenses required to support development and implementation</t>
  </si>
  <si>
    <t>Any project travel expenses incurred to support development and implementation</t>
  </si>
  <si>
    <t>Project other cost, not described above, required to support development and implementation</t>
  </si>
  <si>
    <t>Read-only summary of all project other cost categories</t>
  </si>
  <si>
    <t>Any additional non-project costs for data communications to support ongoing operations</t>
  </si>
  <si>
    <t>Any additional non-project costs for voice communications to support ongoing operations</t>
  </si>
  <si>
    <t>Any non-project equipment rental, supplies, and materials required to support ongoing operations</t>
  </si>
  <si>
    <t>Any non-project facilities rental and maintenance expenses incurred to support ongoing operations</t>
  </si>
  <si>
    <t>Any non-project disaster recovery expenses required to support ongoing operations</t>
  </si>
  <si>
    <t>Any non-project travel expenses incurred to support ongoing operations</t>
  </si>
  <si>
    <t>Non-project other cost, not described above, required to support ongoing operations</t>
  </si>
  <si>
    <t>All non-project operational hardware maintenance and upgrades procured to support ongoing operations</t>
  </si>
  <si>
    <t>All non-project operational software maintenance and upgrades procured to support ongoing operations</t>
  </si>
  <si>
    <t>Read-only sum of all project hardware, software, and other costs</t>
  </si>
  <si>
    <t>Read-only sum of Project Hardware/Software/Other Costs (P25) and Total Project Agency and Contract Personnel Costs (P6)</t>
  </si>
  <si>
    <t>Read-only sum of Non-project Hardware/Software/Other Costs (NP25) and total Non-project agency and Contract Personnel Costs (NP6)</t>
  </si>
  <si>
    <t xml:space="preserve">Project Contingency Percentage </t>
  </si>
  <si>
    <t xml:space="preserve">Non-Project/Operational Contingency Percentage </t>
  </si>
  <si>
    <t>Project Contingency Percentage</t>
  </si>
  <si>
    <t>Using the Non-Project Contingency Percentage, calculation will compute % of the Subtotal Non-Project/Operational Costs (NP26) for  contingencies during ongoing operations</t>
  </si>
  <si>
    <t>Read-only sum of Non-Project Contingency (NP27) and Subtotal Non-Project/Operational Costs (NP26)</t>
  </si>
  <si>
    <t>Read-only sum of Total Project Costs (P28) and Total Non-Project/Operational Costs (NP28)</t>
  </si>
  <si>
    <t>Non-Project/Operational Contract/Consultant Services</t>
  </si>
  <si>
    <t>Non-project/operational contract/consultant costs associated with services for ongoing operation of the proposed project, excluding hardware/software, maintenance, procurements, and other costs included under Hardware/Systems Costs  (NP4-M = Maintenance Costs)</t>
  </si>
  <si>
    <t>Read-only summary of all non-project operational other cost categories</t>
  </si>
  <si>
    <t>Read-only sum of all non-project hardware, software, and other costs</t>
  </si>
  <si>
    <t>Non-Project Contingency (% of Subtotal Non-Project/Operational Costs)</t>
  </si>
  <si>
    <t>Project Agency Personnel Services - Implementation</t>
  </si>
  <si>
    <t>Subtotal Non-Project/Operational Agency Personnel - Maintenance</t>
  </si>
  <si>
    <t>Project Contract/Consultant Services - Implementation</t>
  </si>
  <si>
    <t>Project Subtotal Contract/Consultant-Implementation</t>
  </si>
  <si>
    <t>Total Non-Project/Operational Agency and Contract Personnel Costs</t>
  </si>
  <si>
    <t>Subtotal Project Agency Personnel-Implementation</t>
  </si>
  <si>
    <t>KEY:</t>
  </si>
  <si>
    <t>Indicates values that vary from the ITD Calculation</t>
  </si>
  <si>
    <t>Capital Costs</t>
  </si>
  <si>
    <t>ITD Amount Based on Project Financial Practices</t>
  </si>
  <si>
    <t>Summary of all project other cost categories, less project travel costs (P20)</t>
  </si>
  <si>
    <t>Summary of all project agency personnel services categories</t>
  </si>
  <si>
    <t xml:space="preserve">Project contract/consultant costs associated with performing IV&amp;V services  </t>
  </si>
  <si>
    <t>Total ITD Project Cost</t>
  </si>
  <si>
    <t>Read-only sum of capital and informational costs</t>
  </si>
  <si>
    <t xml:space="preserve">Summary of all project contract/consultant services categories (P4-I), less project IV&amp;V costs </t>
  </si>
  <si>
    <t>Total Project Contract/Consultant Services Costs
(excluding Project IV&amp;V Costs)</t>
  </si>
  <si>
    <t>Summary of all project hardware procurement categories (P7)</t>
  </si>
  <si>
    <t>Summary of all project hardware maintenance categories (P9)</t>
  </si>
  <si>
    <t>Summary of all project software procurement categories (P11)</t>
  </si>
  <si>
    <t>Summary of all project software maintenance categories (P13)</t>
  </si>
  <si>
    <t>Other Cost</t>
  </si>
  <si>
    <t>Other capital cost, not described above, that should be included in capital costs based on agency guidelines or project circumstances</t>
  </si>
  <si>
    <t>Other informational cost, not described above, that should be included in informational costs based on agency guidelines or project circumstances</t>
  </si>
  <si>
    <t>Summary: Non-Project Costs</t>
  </si>
  <si>
    <t>Project Other Costs</t>
  </si>
  <si>
    <t>Project Hardware/Software Costs</t>
  </si>
  <si>
    <t>NP4</t>
  </si>
  <si>
    <t>Non-Project Hardware/Software Costs</t>
  </si>
  <si>
    <t xml:space="preserve">Non-Project/Operational Maintenance - Hardware </t>
  </si>
  <si>
    <t>Non-Project/Operational Other Costs</t>
  </si>
  <si>
    <t>Cumulative Project Costs</t>
  </si>
  <si>
    <t>Cumulative Non-Project/Operational Costs</t>
  </si>
  <si>
    <t>Total ITD Amount Based on Project Financial Practices</t>
  </si>
  <si>
    <t>Percentage used to calculate Contingency of Subtotal Project Costs</t>
  </si>
  <si>
    <t>Percentage used to calculate Contingency of Subtotal Non-Project Costs</t>
  </si>
  <si>
    <t>Project Agency Personnel and Contractor Costs</t>
  </si>
  <si>
    <t>Non-Project/Operational Agency Personnel and Contractor Costs</t>
  </si>
  <si>
    <t>Subtotal Non-Project/Operational Hardware Maintenance</t>
  </si>
  <si>
    <t xml:space="preserve">Subtotal Project Hardware Maintenance </t>
  </si>
  <si>
    <t>Subtotal Non-Project/Operational Software Maintenance</t>
  </si>
  <si>
    <t>Non-Project/Operational Agency Personnel Services</t>
  </si>
  <si>
    <t>Non-Project/Operational Agency Personnel Fringe Benefits</t>
  </si>
  <si>
    <t>Non-Project/Operational Contingency Percentage</t>
  </si>
  <si>
    <t xml:space="preserve">Non-Project/Operational Maintenance - Software </t>
  </si>
  <si>
    <t>Project - Hardware Procurement</t>
  </si>
  <si>
    <t>Hardware/Software Costs</t>
  </si>
  <si>
    <t xml:space="preserve">Project Procurement - Hardware </t>
  </si>
  <si>
    <t xml:space="preserve">Project Maintenance - Hardware </t>
  </si>
  <si>
    <t xml:space="preserve">Project Procurement - Software </t>
  </si>
  <si>
    <t xml:space="preserve">Project Maintenance -  Software </t>
  </si>
  <si>
    <t>Equal to Total Business Case Cost (Line P29)</t>
  </si>
  <si>
    <t>Business Case Cost</t>
  </si>
  <si>
    <t>Business Case Cost (Cash Outflow)</t>
  </si>
  <si>
    <t>Net Cash Flow equals Total Quantitative Benefits less Total Business Case Cost (A31 minus P29)</t>
  </si>
  <si>
    <t>Project Data Communications</t>
  </si>
  <si>
    <t>Project Voice Communications</t>
  </si>
  <si>
    <t>Project Equipment Rental/Supplies and Materials</t>
  </si>
  <si>
    <t>Project Facilities Rental/Maintenance Expenses</t>
  </si>
  <si>
    <t>Project Disaster Recovery</t>
  </si>
  <si>
    <t>Project Travel</t>
  </si>
  <si>
    <t>Project Other Cost</t>
  </si>
  <si>
    <t>Non-Project/Operational Data Communications</t>
  </si>
  <si>
    <t>Non-Project/Operational Voice Communications</t>
  </si>
  <si>
    <t>Non-Project/Operational Equipment Rental/Supplies and Materials</t>
  </si>
  <si>
    <t>Non-Project/Operational Facilities Rental/Maintenance Expenses</t>
  </si>
  <si>
    <t>Non-Project/Operational Disaster Recovery</t>
  </si>
  <si>
    <t>Non-Project/Operational Travel</t>
  </si>
  <si>
    <t>Non-Project/Operational Other Cost</t>
  </si>
  <si>
    <t>Project IV&amp;V Costs</t>
  </si>
  <si>
    <t xml:space="preserve">Subtotal Project Other Costs
(excluding Project Travel Costs) </t>
  </si>
  <si>
    <t>Project Other Cost (describe)</t>
  </si>
  <si>
    <t>Non-Project Other Cost (describe)</t>
  </si>
  <si>
    <r>
      <t xml:space="preserve">Provides a blank, free-form spreadsheet that allows agencies to include any additional information that is helpful. 
This </t>
    </r>
    <r>
      <rPr>
        <b/>
        <u/>
        <sz val="10"/>
        <rFont val="Arial"/>
        <family val="2"/>
      </rPr>
      <t>optional worksheet</t>
    </r>
    <r>
      <rPr>
        <sz val="10"/>
        <rFont val="Arial"/>
        <family val="2"/>
      </rPr>
      <t xml:space="preserve"> is one of the tools in the Project Financial Life Cycle Extension. This worksheet is included within the Business Case Workbook to facilitate agency calculations and mapping. </t>
    </r>
    <r>
      <rPr>
        <b/>
        <sz val="10"/>
        <rFont val="Arial"/>
        <family val="2"/>
      </rPr>
      <t xml:space="preserve">For guidance on use of the Agency Additional Information worksheet, refer to the Project Financial Life Cycle Guide within the Project Financial Life Cycle Extension. </t>
    </r>
  </si>
  <si>
    <t xml:space="preserve">
Total Project Contract/Consultant Services Costs   (excluding IV&amp;V costs)</t>
  </si>
  <si>
    <t>Total Quantitative Benefits minus Total Business Case Cost (Line C25 minus P29)</t>
  </si>
  <si>
    <r>
      <t xml:space="preserve">Provides an estimated cost mapping from the business case costs (i.e., project costs plus non-project/operational costs) identified on the Cost Analysis worksheet to the ITD costs (i.e., project costs) and then allows agency adjustments to the ITD costs.  
This </t>
    </r>
    <r>
      <rPr>
        <b/>
        <u/>
        <sz val="10"/>
        <rFont val="Arial"/>
        <family val="2"/>
      </rPr>
      <t>optional worksheet</t>
    </r>
    <r>
      <rPr>
        <sz val="10"/>
        <rFont val="Arial"/>
        <family val="2"/>
      </rPr>
      <t xml:space="preserve"> is one of the tools in the Project Financial Life Cycle Extension. This worksheet is included within the Business Case Workbook tool to facilitate calculations used in the mapping. </t>
    </r>
    <r>
      <rPr>
        <b/>
        <sz val="10"/>
        <rFont val="Arial"/>
        <family val="2"/>
      </rPr>
      <t xml:space="preserve">For guidance on use of the Cost Mapping worksheet, refer to the Project Financial Life Cycle Guide within the Project Financial Life Cycle Extension. </t>
    </r>
  </si>
  <si>
    <t>Quantifies business case cost estimates required for project development, implementation, and maintenance</t>
  </si>
  <si>
    <t>Summarizes major categories of business case costs and quantitative and qualitative benefits</t>
  </si>
  <si>
    <t>The Workbook comprises multiple Excel worksheets that enable input of cost estimates, quantitative benefits, and other evaluation factors. Entered data is presented in the Cost-Benefit Summary, Financial Analysis, and Selection Results worksheets.</t>
  </si>
  <si>
    <t>Delivers a comprehensive analysis of costs, benefits, and metrics, including Net Present Value (NPV), Breakeven Point, and ROI to the agency and state. Also includes a quantitative representation of value to the state’s constituents</t>
  </si>
  <si>
    <t>Equal to (Agency Benefits minus Business Case Costs)/Business Case Costs (Line RA3/RA2).</t>
  </si>
  <si>
    <r>
      <t>Project total overhead burden for agency personnel</t>
    </r>
    <r>
      <rPr>
        <sz val="10"/>
        <color theme="1"/>
        <rFont val="Arial"/>
        <family val="2"/>
      </rPr>
      <t xml:space="preserve"> (29.74%)</t>
    </r>
    <r>
      <rPr>
        <sz val="10"/>
        <color indexed="8"/>
        <rFont val="Arial"/>
        <family val="2"/>
      </rPr>
      <t xml:space="preserve"> including employer payroll expenses (Social Security and Medicare taxes, unemployment compensation, and workers' compensation), paid time off (holidays, sick leave, and annual leave), health insurance, retirement contributions, and longevity pay</t>
    </r>
  </si>
  <si>
    <r>
      <t>Non-project total overhead burden for agency personn</t>
    </r>
    <r>
      <rPr>
        <sz val="10"/>
        <color theme="1"/>
        <rFont val="Arial"/>
        <family val="2"/>
      </rPr>
      <t>el  (29.74%)</t>
    </r>
    <r>
      <rPr>
        <sz val="10"/>
        <color indexed="8"/>
        <rFont val="Arial"/>
        <family val="2"/>
      </rPr>
      <t xml:space="preserve"> including employer payroll expenses (Social Security and Medicare taxes, unemployment compensation, and workers' compensation), paid time off (holidays, sick leave, and annual leave), health insurance, retirement contributions, and longevity pay</t>
    </r>
  </si>
  <si>
    <r>
      <t xml:space="preserve">Savings from reduction of agency and contract personnel currently needed to staff the business processes and/or from a reduction in technical development and maintenance personnel needed by the agency. (Hourly Rate = Base salary x [1 + fringe benefits </t>
    </r>
    <r>
      <rPr>
        <sz val="10"/>
        <color theme="1"/>
        <rFont val="Arial"/>
        <family val="2"/>
      </rPr>
      <t>(29.74%</t>
    </r>
    <r>
      <rPr>
        <sz val="10"/>
        <color indexed="8"/>
        <rFont val="Arial"/>
        <family val="2"/>
      </rPr>
      <t>)] / total annual hours (2080))</t>
    </r>
  </si>
  <si>
    <t>Version</t>
  </si>
  <si>
    <t>Date</t>
  </si>
  <si>
    <t xml:space="preserve">Description </t>
  </si>
  <si>
    <t>Version History</t>
  </si>
  <si>
    <t>2.0</t>
  </si>
  <si>
    <t xml:space="preserve">Version 2.0 Released.
The version history detail for Business Case Workbook 2.0 and earlier releases are recorded in the Business Case Instructions.
</t>
  </si>
  <si>
    <t>Summarizes the revision history of the Business Case Workbook beginning with Release 2.1 (January 2013).</t>
  </si>
  <si>
    <t>Version 2.1 Released.
Business Case Workbook updated to use FY2014-2015 agency personnel fringe benefits percentage calculation set by the Legislative Budget Board to 29.74% (Social Security 6.5%, ERS Retirement 7.65%, ERS Health Insurance 15.59%).</t>
  </si>
  <si>
    <t xml:space="preserve">Version 2.2 Released.
Business Case Workbook updated with the addition of the Version History worksheet. </t>
  </si>
  <si>
    <t>Figures given below are ESTIMATES only based on current understanding of scope. Subject to change upon further requirements analysis.</t>
  </si>
  <si>
    <t xml:space="preserve">The project will take 15 months to roll out. </t>
  </si>
  <si>
    <t>15 Month duration based on analogous estimation</t>
  </si>
  <si>
    <t>Duration of project in months</t>
  </si>
  <si>
    <t>Work hours in a month</t>
  </si>
  <si>
    <t>Duration of project in hours</t>
  </si>
  <si>
    <t>Average percentage of time spent on project over entire duration</t>
  </si>
  <si>
    <t>FTE</t>
  </si>
  <si>
    <t xml:space="preserve">IT Project manager </t>
  </si>
  <si>
    <t>%</t>
  </si>
  <si>
    <t>DCS coordinator</t>
  </si>
  <si>
    <t>Agency infrastructure manager</t>
  </si>
  <si>
    <t xml:space="preserve">Business analyst </t>
  </si>
  <si>
    <t>.Net developer</t>
  </si>
  <si>
    <t>Oracle DBA</t>
  </si>
  <si>
    <t>Program specialistSME</t>
  </si>
  <si>
    <t>Contractor</t>
  </si>
  <si>
    <t xml:space="preserve"> .Net/ASP Programmer</t>
  </si>
  <si>
    <t>JAVA Developer</t>
  </si>
  <si>
    <t>Systems architect</t>
  </si>
  <si>
    <t>Reports developer</t>
  </si>
  <si>
    <t>Microsoft SharePoint application server configuration manager</t>
  </si>
  <si>
    <t>Jboss EAP application server configuration manager</t>
  </si>
  <si>
    <t>Hourly Wages</t>
  </si>
  <si>
    <t>Systems/data architect</t>
  </si>
  <si>
    <t>yr 1 (8 months)</t>
  </si>
  <si>
    <t>yr 2 (7 months)</t>
  </si>
  <si>
    <t>UAT</t>
  </si>
  <si>
    <t>Application server configuration</t>
  </si>
  <si>
    <t>Yr 3</t>
  </si>
  <si>
    <t>Yr 4</t>
  </si>
  <si>
    <t>Yr 5</t>
  </si>
  <si>
    <t>Yr 6</t>
  </si>
  <si>
    <t>Yr 7</t>
  </si>
  <si>
    <t>Yr 8</t>
  </si>
  <si>
    <t>Yr 9</t>
  </si>
  <si>
    <t>Yr 10</t>
  </si>
  <si>
    <t>1 full-time equivalent</t>
  </si>
  <si>
    <t>BENEFITS</t>
  </si>
  <si>
    <t>Existing system would require $2.5 million/yr to be paid to current contractors</t>
  </si>
  <si>
    <t>New system has data validation and error checks at the point of data entry. Estimate errors will be reduced by 5% .</t>
  </si>
  <si>
    <t>5% reduction in error rate means 5 minutes less to process each application. Process 5 million applications/yr. Ave FTE hourly cost $35/hr.  Five minutes=$2.92</t>
  </si>
  <si>
    <t>Estimates based on experience with similar projects (analogous estimation)</t>
  </si>
  <si>
    <t>Design costs included in Requirements and Development/Programming</t>
  </si>
  <si>
    <t>ST costs included in development/programming</t>
  </si>
  <si>
    <t>Costs included in UAT</t>
  </si>
  <si>
    <t>FY2014</t>
  </si>
  <si>
    <t>FY2015</t>
  </si>
  <si>
    <t>FY2016</t>
  </si>
  <si>
    <t>FY2017</t>
  </si>
  <si>
    <t>FY2018</t>
  </si>
  <si>
    <t>FY2019</t>
  </si>
  <si>
    <t>FY2020</t>
  </si>
  <si>
    <t>FY2021</t>
  </si>
  <si>
    <t>FY2022</t>
  </si>
  <si>
    <t>FY2023</t>
  </si>
  <si>
    <t>See Add Agency Info Sheet</t>
  </si>
  <si>
    <t>Total Labor Costs Over Duration of Project (w/o fringe)</t>
  </si>
  <si>
    <t>Total Labor Costs by Project Phases</t>
  </si>
  <si>
    <t>$35/hr for 2,040 hours/yr</t>
  </si>
  <si>
    <t>Assume $110/hr for 2040 hours/yr</t>
  </si>
  <si>
    <t>Workbook Instructions: This is a Sample Used For Demonstration Purposes Only</t>
  </si>
  <si>
    <t>Cost Analysis: Business Case Cost: This is a Sample Used For Demonstration Purposes Only</t>
  </si>
  <si>
    <t>Benefit Analysis: Quantitative Project Benefits: This is a Sample Used For Demonstration Purposes Only</t>
  </si>
  <si>
    <t>Evaluation Factors: This is a Sample Used For Demonstration Purposes Only</t>
  </si>
  <si>
    <t>Summary: Project Costs: This is a Sample Used For Demonstration Purposes Only</t>
  </si>
  <si>
    <t>Financial Analysis: This is a Sample Used For Demonstration Purposes Only</t>
  </si>
  <si>
    <t>Selection Results: This is a Sample Used For Demonstration Purposes Only</t>
  </si>
  <si>
    <t>Cost Mapping - (optional worksheet): This is a Sample Used For Demonstration Purposes Only</t>
  </si>
  <si>
    <t>Additional Agency Information - (optional worksheet): This is a Sample Used For Demonstration Purposes Only</t>
  </si>
  <si>
    <t>Version History: This is a Sample Used For Demonstration Purposes Only</t>
  </si>
  <si>
    <t>User Acceptance Training (UAT)</t>
  </si>
  <si>
    <t>$3.05/gallon (average price of gas in Texas as of xx/xx/xxxx)</t>
  </si>
  <si>
    <t>Assume ave savings in gas is one quarter of a gallon. Citizen does not have to drive to bank.</t>
  </si>
  <si>
    <t>Ave time spent for citizen to complete online application is 45 minutes less than waiting in line at agency office. One hour for the manual process. 15 minutes for the online application process.</t>
  </si>
  <si>
    <t>Anticipate 5 million citizens to use system/yr. This is based on data collected over the last 10 years on the average number of apps received in a year and forecasts for the next 10 years developed by operations and planning office.  No manual option is available so full adoption is expected. Average citizen makes $40,000 in Texas. SOURCE citation: xxxxxx</t>
  </si>
  <si>
    <t>LABOR/SERVICES COSTS</t>
  </si>
  <si>
    <t>UAT costs include training. See Add Agency Info Sheet</t>
  </si>
  <si>
    <t>2 contractors for years three and four only</t>
  </si>
  <si>
    <t>Price Quote/DCS/Xerox</t>
  </si>
  <si>
    <t>Data migration and conversion costs included in Development/programming</t>
  </si>
  <si>
    <t xml:space="preserve">DCS/Xerox/Oracle RAC </t>
  </si>
  <si>
    <t>DCS/Xerox/JBOSS EAP 7.x.x</t>
  </si>
  <si>
    <t>DCS/Xerox/ $xxxx/1 Tb</t>
  </si>
  <si>
    <t>Please note: Loss of funding refers to program funding which may be compromised if the system is not developed or upgraded; not funding to implement the system.</t>
  </si>
  <si>
    <t>Online applications will save time to complete application. See Add Agency Info Sheet</t>
  </si>
  <si>
    <t>Savings in transportation (gasoline costs) costs. See Add Agency Info Sheet</t>
  </si>
  <si>
    <t>Savings in transportation costs to field offices.</t>
  </si>
  <si>
    <t xml:space="preserve">Cost per year to maintain current system.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</si>
</sst>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5" formatCode="&quot;$&quot;#,##0_);\(&quot;$&quot;#,##0\)"/>
    <numFmt numFmtId="6" formatCode="&quot;$&quot;#,##0_);[Red]\(&quot;$&quot;#,##0\)"/>
    <numFmt numFmtId="44" formatCode="_(&quot;$&quot;* #,##0.00_);_(&quot;$&quot;* \(#,##0.00\);_(&quot;$&quot;* &quot;-&quot;??_);_(@_)"/>
    <numFmt numFmtId="43" formatCode="_(* #,##0.00_);_(* \(#,##0.00\);_(* &quot;-&quot;??_);_(@_)"/>
    <numFmt numFmtId="164" formatCode="&quot;$&quot;#,##0"/>
    <numFmt numFmtId="165" formatCode="_(* #,##0_);_(* \(#,##0\);_(* &quot;-&quot;??_);_(@_)"/>
    <numFmt numFmtId="166" formatCode="_(&quot;$&quot;* #,##0_);_(&quot;$&quot;* \(#,##0\);_(&quot;$&quot;* &quot;-&quot;??_);_(@_)"/>
    <numFmt numFmtId="167" formatCode="0.00_)"/>
  </numFmts>
  <fonts count="42" x14ac:knownFonts="1">
    <font>
      <sz val="11"/>
      <name val="Arial"/>
    </font>
    <font>
      <sz val="11"/>
      <name val="Arial"/>
      <family val="2"/>
    </font>
    <font>
      <u/>
      <sz val="11"/>
      <color indexed="12"/>
      <name val="Arial"/>
      <family val="2"/>
    </font>
    <font>
      <b/>
      <sz val="10"/>
      <name val="Arial"/>
      <family val="2"/>
    </font>
    <font>
      <b/>
      <sz val="16"/>
      <name val="Arial"/>
      <family val="2"/>
    </font>
    <font>
      <b/>
      <sz val="12"/>
      <name val="Arial"/>
      <family val="2"/>
    </font>
    <font>
      <b/>
      <sz val="11"/>
      <name val="Arial"/>
      <family val="2"/>
    </font>
    <font>
      <sz val="10"/>
      <name val="Arial"/>
      <family val="2"/>
    </font>
    <font>
      <b/>
      <sz val="10"/>
      <color indexed="8"/>
      <name val="Arial"/>
      <family val="2"/>
    </font>
    <font>
      <sz val="11"/>
      <name val="Arial"/>
      <family val="2"/>
    </font>
    <font>
      <b/>
      <sz val="11"/>
      <color indexed="8"/>
      <name val="Arial"/>
      <family val="2"/>
    </font>
    <font>
      <b/>
      <sz val="11"/>
      <color indexed="12"/>
      <name val="Arial"/>
      <family val="2"/>
    </font>
    <font>
      <sz val="8"/>
      <color indexed="81"/>
      <name val="Tahoma"/>
      <family val="2"/>
    </font>
    <font>
      <sz val="10"/>
      <name val="Arial"/>
      <family val="2"/>
    </font>
    <font>
      <b/>
      <sz val="10"/>
      <color indexed="48"/>
      <name val="Arial"/>
      <family val="2"/>
    </font>
    <font>
      <sz val="11"/>
      <color indexed="8"/>
      <name val="Arial"/>
      <family val="2"/>
    </font>
    <font>
      <sz val="10"/>
      <color indexed="8"/>
      <name val="Arial"/>
      <family val="2"/>
    </font>
    <font>
      <sz val="8"/>
      <name val="Arial"/>
      <family val="2"/>
    </font>
    <font>
      <sz val="11"/>
      <name val="Book Antiqua"/>
      <family val="1"/>
    </font>
    <font>
      <sz val="7"/>
      <name val="Small Fonts"/>
      <family val="2"/>
    </font>
    <font>
      <b/>
      <i/>
      <sz val="16"/>
      <name val="Helv"/>
    </font>
    <font>
      <sz val="10"/>
      <color indexed="10"/>
      <name val="Arial"/>
      <family val="2"/>
    </font>
    <font>
      <u/>
      <sz val="10"/>
      <color indexed="12"/>
      <name val="Arial"/>
      <family val="2"/>
    </font>
    <font>
      <u/>
      <sz val="10"/>
      <color indexed="12"/>
      <name val="Arial"/>
      <family val="2"/>
    </font>
    <font>
      <b/>
      <sz val="12"/>
      <color indexed="8"/>
      <name val="Arial"/>
      <family val="2"/>
    </font>
    <font>
      <sz val="12"/>
      <name val="Arial"/>
      <family val="2"/>
    </font>
    <font>
      <sz val="10"/>
      <color indexed="12"/>
      <name val="Arial"/>
      <family val="2"/>
    </font>
    <font>
      <b/>
      <sz val="10"/>
      <color indexed="61"/>
      <name val="Arial"/>
      <family val="2"/>
    </font>
    <font>
      <sz val="9"/>
      <name val="Arial Narrow"/>
      <family val="2"/>
    </font>
    <font>
      <sz val="8"/>
      <name val="Arial"/>
      <family val="2"/>
    </font>
    <font>
      <b/>
      <sz val="8"/>
      <name val="Arial"/>
      <family val="2"/>
    </font>
    <font>
      <b/>
      <sz val="10"/>
      <color rgb="FFFF0000"/>
      <name val="Arial"/>
      <family val="2"/>
    </font>
    <font>
      <i/>
      <sz val="10"/>
      <name val="Arial"/>
      <family val="2"/>
    </font>
    <font>
      <sz val="10"/>
      <color rgb="FFFF0000"/>
      <name val="Arial"/>
      <family val="2"/>
    </font>
    <font>
      <sz val="10"/>
      <color rgb="FF2609FB"/>
      <name val="Arial"/>
      <family val="2"/>
    </font>
    <font>
      <sz val="10"/>
      <color rgb="FF0000FF"/>
      <name val="Arial"/>
      <family val="2"/>
    </font>
    <font>
      <sz val="10"/>
      <color rgb="FF3333FF"/>
      <name val="Arial"/>
      <family val="2"/>
    </font>
    <font>
      <sz val="11"/>
      <color theme="0"/>
      <name val="Arial"/>
      <family val="2"/>
    </font>
    <font>
      <b/>
      <u/>
      <sz val="10"/>
      <name val="Arial"/>
      <family val="2"/>
    </font>
    <font>
      <sz val="9"/>
      <color indexed="81"/>
      <name val="Tahoma"/>
      <family val="2"/>
    </font>
    <font>
      <b/>
      <sz val="10"/>
      <color indexed="81"/>
      <name val="Tahoma"/>
      <family val="2"/>
    </font>
    <font>
      <sz val="10"/>
      <color theme="1"/>
      <name val="Arial"/>
      <family val="2"/>
    </font>
  </fonts>
  <fills count="2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mediumGray">
        <fgColor indexed="22"/>
        <bgColor indexed="9"/>
      </patternFill>
    </fill>
    <fill>
      <patternFill patternType="solid">
        <fgColor indexed="42"/>
        <bgColor indexed="64"/>
      </patternFill>
    </fill>
    <fill>
      <patternFill patternType="solid">
        <fgColor indexed="26"/>
        <bgColor indexed="64"/>
      </patternFill>
    </fill>
    <fill>
      <patternFill patternType="mediumGray">
        <fgColor indexed="22"/>
        <bgColor indexed="22"/>
      </patternFill>
    </fill>
    <fill>
      <patternFill patternType="mediumGray">
        <fgColor indexed="27"/>
        <bgColor indexed="42"/>
      </patternFill>
    </fill>
    <fill>
      <patternFill patternType="solid">
        <fgColor indexed="9"/>
        <bgColor indexed="22"/>
      </patternFill>
    </fill>
    <fill>
      <patternFill patternType="solid">
        <fgColor theme="5" tint="0.59996337778862885"/>
        <bgColor indexed="64"/>
      </patternFill>
    </fill>
    <fill>
      <patternFill patternType="mediumGray">
        <fgColor indexed="22"/>
        <bgColor theme="2"/>
      </patternFill>
    </fill>
    <fill>
      <patternFill patternType="solid">
        <fgColor rgb="FFCCFFCC"/>
        <bgColor indexed="22"/>
      </patternFill>
    </fill>
    <fill>
      <patternFill patternType="solid">
        <fgColor rgb="FFFFFFCC"/>
        <bgColor indexed="22"/>
      </patternFill>
    </fill>
    <fill>
      <patternFill patternType="solid">
        <fgColor theme="0" tint="-0.14996795556505021"/>
        <bgColor indexed="64"/>
      </patternFill>
    </fill>
    <fill>
      <patternFill patternType="solid">
        <fgColor theme="2"/>
        <bgColor indexed="64"/>
      </patternFill>
    </fill>
    <fill>
      <patternFill patternType="mediumGray">
        <fgColor indexed="22"/>
        <bgColor theme="0" tint="-0.14996795556505021"/>
      </patternFill>
    </fill>
    <fill>
      <patternFill patternType="solid">
        <fgColor indexed="65"/>
        <bgColor indexed="64"/>
      </patternFill>
    </fill>
    <fill>
      <patternFill patternType="solid">
        <fgColor rgb="FFFFFF99"/>
        <bgColor indexed="64"/>
      </patternFill>
    </fill>
    <fill>
      <patternFill patternType="solid">
        <fgColor rgb="FFCCFFCC"/>
        <bgColor indexed="64"/>
      </patternFill>
    </fill>
    <fill>
      <patternFill patternType="solid">
        <fgColor theme="0" tint="-0.34998626667073579"/>
        <bgColor indexed="22"/>
      </patternFill>
    </fill>
    <fill>
      <patternFill patternType="solid">
        <fgColor theme="3" tint="0.79998168889431442"/>
        <bgColor indexed="64"/>
      </patternFill>
    </fill>
    <fill>
      <patternFill patternType="mediumGray">
        <fgColor indexed="22"/>
        <bgColor theme="3" tint="0.79998168889431442"/>
      </patternFill>
    </fill>
    <fill>
      <patternFill patternType="solid">
        <fgColor theme="3" tint="0.79998168889431442"/>
        <bgColor indexed="22"/>
      </patternFill>
    </fill>
    <fill>
      <patternFill patternType="solid">
        <fgColor theme="4" tint="0.79998168889431442"/>
        <bgColor indexed="64"/>
      </patternFill>
    </fill>
    <fill>
      <patternFill patternType="solid">
        <fgColor theme="1" tint="0.24994659260841701"/>
        <bgColor indexed="64"/>
      </patternFill>
    </fill>
    <fill>
      <patternFill patternType="solid">
        <fgColor theme="1" tint="0.24994659260841701"/>
        <bgColor auto="1"/>
      </patternFill>
    </fill>
    <fill>
      <patternFill patternType="solid">
        <fgColor theme="0"/>
        <bgColor indexed="64"/>
      </patternFill>
    </fill>
    <fill>
      <patternFill patternType="solid">
        <fgColor rgb="FFFFFF00"/>
        <bgColor indexed="64"/>
      </patternFill>
    </fill>
  </fills>
  <borders count="223">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8"/>
      </top>
      <bottom style="thin">
        <color indexed="8"/>
      </bottom>
      <diagonal/>
    </border>
    <border>
      <left/>
      <right/>
      <top style="thin">
        <color indexed="64"/>
      </top>
      <bottom style="thin">
        <color indexed="64"/>
      </bottom>
      <diagonal/>
    </border>
    <border>
      <left style="hair">
        <color indexed="22"/>
      </left>
      <right style="hair">
        <color indexed="22"/>
      </right>
      <top style="hair">
        <color indexed="22"/>
      </top>
      <bottom style="hair">
        <color indexed="22"/>
      </bottom>
      <diagonal/>
    </border>
    <border>
      <left style="hair">
        <color indexed="22"/>
      </left>
      <right style="medium">
        <color indexed="64"/>
      </right>
      <top style="hair">
        <color indexed="22"/>
      </top>
      <bottom style="hair">
        <color indexed="22"/>
      </bottom>
      <diagonal/>
    </border>
    <border>
      <left style="hair">
        <color indexed="22"/>
      </left>
      <right style="hair">
        <color indexed="22"/>
      </right>
      <top style="thin">
        <color indexed="64"/>
      </top>
      <bottom style="medium">
        <color indexed="64"/>
      </bottom>
      <diagonal/>
    </border>
    <border>
      <left style="medium">
        <color indexed="64"/>
      </left>
      <right/>
      <top style="medium">
        <color indexed="64"/>
      </top>
      <bottom style="thin">
        <color indexed="8"/>
      </bottom>
      <diagonal/>
    </border>
    <border>
      <left style="medium">
        <color indexed="64"/>
      </left>
      <right style="medium">
        <color indexed="64"/>
      </right>
      <top style="thin">
        <color indexed="64"/>
      </top>
      <bottom style="hair">
        <color indexed="22"/>
      </bottom>
      <diagonal/>
    </border>
    <border>
      <left style="medium">
        <color indexed="64"/>
      </left>
      <right style="medium">
        <color indexed="64"/>
      </right>
      <top style="hair">
        <color indexed="22"/>
      </top>
      <bottom style="hair">
        <color indexed="22"/>
      </bottom>
      <diagonal/>
    </border>
    <border>
      <left style="thin">
        <color indexed="22"/>
      </left>
      <right style="thin">
        <color indexed="22"/>
      </right>
      <top style="thin">
        <color indexed="64"/>
      </top>
      <bottom style="medium">
        <color indexed="64"/>
      </bottom>
      <diagonal/>
    </border>
    <border>
      <left/>
      <right/>
      <top style="thin">
        <color indexed="64"/>
      </top>
      <bottom/>
      <diagonal/>
    </border>
    <border>
      <left style="medium">
        <color indexed="64"/>
      </left>
      <right/>
      <top/>
      <bottom/>
      <diagonal/>
    </border>
    <border>
      <left style="medium">
        <color indexed="64"/>
      </left>
      <right/>
      <top style="thin">
        <color indexed="64"/>
      </top>
      <bottom/>
      <diagonal/>
    </border>
    <border>
      <left/>
      <right/>
      <top/>
      <bottom style="thin">
        <color indexed="64"/>
      </bottom>
      <diagonal/>
    </border>
    <border>
      <left style="medium">
        <color indexed="64"/>
      </left>
      <right/>
      <top style="thin">
        <color indexed="8"/>
      </top>
      <bottom/>
      <diagonal/>
    </border>
    <border>
      <left style="medium">
        <color indexed="64"/>
      </left>
      <right/>
      <top style="thin">
        <color indexed="64"/>
      </top>
      <bottom style="hair">
        <color indexed="22"/>
      </bottom>
      <diagonal/>
    </border>
    <border>
      <left style="medium">
        <color indexed="64"/>
      </left>
      <right/>
      <top style="hair">
        <color indexed="22"/>
      </top>
      <bottom style="hair">
        <color indexed="22"/>
      </bottom>
      <diagonal/>
    </border>
    <border>
      <left style="medium">
        <color indexed="64"/>
      </left>
      <right/>
      <top style="thin">
        <color indexed="8"/>
      </top>
      <bottom style="hair">
        <color indexed="22"/>
      </bottom>
      <diagonal/>
    </border>
    <border>
      <left style="medium">
        <color indexed="64"/>
      </left>
      <right/>
      <top style="hair">
        <color indexed="22"/>
      </top>
      <bottom style="thin">
        <color indexed="8"/>
      </bottom>
      <diagonal/>
    </border>
    <border>
      <left style="thin">
        <color indexed="64"/>
      </left>
      <right style="hair">
        <color indexed="22"/>
      </right>
      <top style="hair">
        <color indexed="22"/>
      </top>
      <bottom style="hair">
        <color indexed="22"/>
      </bottom>
      <diagonal/>
    </border>
    <border>
      <left/>
      <right style="hair">
        <color indexed="22"/>
      </right>
      <top style="thin">
        <color indexed="64"/>
      </top>
      <bottom style="medium">
        <color indexed="64"/>
      </bottom>
      <diagonal/>
    </border>
    <border>
      <left style="medium">
        <color indexed="64"/>
      </left>
      <right style="thin">
        <color indexed="64"/>
      </right>
      <top style="thin">
        <color indexed="64"/>
      </top>
      <bottom style="hair">
        <color indexed="22"/>
      </bottom>
      <diagonal/>
    </border>
    <border>
      <left style="medium">
        <color indexed="64"/>
      </left>
      <right style="thin">
        <color indexed="64"/>
      </right>
      <top style="hair">
        <color indexed="22"/>
      </top>
      <bottom style="hair">
        <color indexed="22"/>
      </bottom>
      <diagonal/>
    </border>
    <border>
      <left style="medium">
        <color indexed="64"/>
      </left>
      <right style="thin">
        <color indexed="64"/>
      </right>
      <top style="hair">
        <color indexed="22"/>
      </top>
      <bottom style="thin">
        <color indexed="8"/>
      </bottom>
      <diagonal/>
    </border>
    <border>
      <left style="medium">
        <color indexed="64"/>
      </left>
      <right style="thin">
        <color indexed="64"/>
      </right>
      <top/>
      <bottom style="medium">
        <color indexed="64"/>
      </bottom>
      <diagonal/>
    </border>
    <border>
      <left style="medium">
        <color indexed="64"/>
      </left>
      <right style="thin">
        <color indexed="64"/>
      </right>
      <top style="thin">
        <color indexed="8"/>
      </top>
      <bottom style="hair">
        <color indexed="22"/>
      </bottom>
      <diagonal/>
    </border>
    <border>
      <left style="medium">
        <color indexed="64"/>
      </left>
      <right/>
      <top style="hair">
        <color indexed="22"/>
      </top>
      <bottom/>
      <diagonal/>
    </border>
    <border>
      <left style="medium">
        <color indexed="64"/>
      </left>
      <right/>
      <top style="medium">
        <color indexed="64"/>
      </top>
      <bottom/>
      <diagonal/>
    </border>
    <border>
      <left/>
      <right/>
      <top style="medium">
        <color indexed="64"/>
      </top>
      <bottom/>
      <diagonal/>
    </border>
    <border>
      <left style="thin">
        <color indexed="22"/>
      </left>
      <right style="thin">
        <color indexed="22"/>
      </right>
      <top style="thin">
        <color indexed="64"/>
      </top>
      <bottom/>
      <diagonal/>
    </border>
    <border>
      <left style="thin">
        <color indexed="22"/>
      </left>
      <right style="medium">
        <color indexed="64"/>
      </right>
      <top style="thin">
        <color indexed="64"/>
      </top>
      <bottom/>
      <diagonal/>
    </border>
    <border>
      <left style="medium">
        <color indexed="64"/>
      </left>
      <right style="thin">
        <color indexed="8"/>
      </right>
      <top style="thin">
        <color indexed="64"/>
      </top>
      <bottom style="thin">
        <color indexed="64"/>
      </bottom>
      <diagonal/>
    </border>
    <border>
      <left style="medium">
        <color indexed="64"/>
      </left>
      <right style="thin">
        <color indexed="8"/>
      </right>
      <top style="thin">
        <color indexed="64"/>
      </top>
      <bottom style="medium">
        <color indexed="64"/>
      </bottom>
      <diagonal/>
    </border>
    <border>
      <left style="thin">
        <color indexed="64"/>
      </left>
      <right style="hair">
        <color indexed="22"/>
      </right>
      <top style="thin">
        <color indexed="64"/>
      </top>
      <bottom style="thin">
        <color indexed="64"/>
      </bottom>
      <diagonal/>
    </border>
    <border>
      <left style="hair">
        <color indexed="22"/>
      </left>
      <right style="hair">
        <color indexed="22"/>
      </right>
      <top style="thin">
        <color indexed="64"/>
      </top>
      <bottom style="thin">
        <color indexed="64"/>
      </bottom>
      <diagonal/>
    </border>
    <border>
      <left style="hair">
        <color indexed="22"/>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hair">
        <color indexed="22"/>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8"/>
      </top>
      <bottom style="medium">
        <color indexed="64"/>
      </bottom>
      <diagonal/>
    </border>
    <border>
      <left/>
      <right style="hair">
        <color indexed="22"/>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8"/>
      </bottom>
      <diagonal/>
    </border>
    <border>
      <left style="medium">
        <color indexed="64"/>
      </left>
      <right style="thin">
        <color indexed="8"/>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hair">
        <color indexed="22"/>
      </right>
      <top/>
      <bottom style="thin">
        <color indexed="64"/>
      </bottom>
      <diagonal/>
    </border>
    <border>
      <left style="hair">
        <color indexed="22"/>
      </left>
      <right style="hair">
        <color indexed="22"/>
      </right>
      <top/>
      <bottom style="thin">
        <color indexed="64"/>
      </bottom>
      <diagonal/>
    </border>
    <border>
      <left style="hair">
        <color indexed="22"/>
      </left>
      <right style="medium">
        <color indexed="64"/>
      </right>
      <top/>
      <bottom style="thin">
        <color indexed="64"/>
      </bottom>
      <diagonal/>
    </border>
    <border>
      <left style="medium">
        <color indexed="8"/>
      </left>
      <right style="thin">
        <color indexed="8"/>
      </right>
      <top style="thin">
        <color indexed="8"/>
      </top>
      <bottom style="hair">
        <color indexed="22"/>
      </bottom>
      <diagonal/>
    </border>
    <border>
      <left style="medium">
        <color indexed="8"/>
      </left>
      <right style="thin">
        <color indexed="8"/>
      </right>
      <top style="hair">
        <color indexed="22"/>
      </top>
      <bottom style="hair">
        <color indexed="22"/>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8"/>
      </left>
      <right style="thin">
        <color indexed="8"/>
      </right>
      <top/>
      <bottom/>
      <diagonal/>
    </border>
    <border>
      <left/>
      <right style="thin">
        <color indexed="64"/>
      </right>
      <top style="thin">
        <color indexed="64"/>
      </top>
      <bottom style="hair">
        <color indexed="22"/>
      </bottom>
      <diagonal/>
    </border>
    <border>
      <left/>
      <right style="thin">
        <color indexed="64"/>
      </right>
      <top style="hair">
        <color indexed="22"/>
      </top>
      <bottom style="hair">
        <color indexed="22"/>
      </bottom>
      <diagonal/>
    </border>
    <border>
      <left style="medium">
        <color indexed="64"/>
      </left>
      <right style="medium">
        <color indexed="64"/>
      </right>
      <top style="hair">
        <color indexed="22"/>
      </top>
      <bottom style="thin">
        <color indexed="64"/>
      </bottom>
      <diagonal/>
    </border>
    <border>
      <left/>
      <right style="thin">
        <color indexed="64"/>
      </right>
      <top style="hair">
        <color indexed="22"/>
      </top>
      <bottom style="thin">
        <color indexed="64"/>
      </bottom>
      <diagonal/>
    </border>
    <border>
      <left style="thin">
        <color indexed="64"/>
      </left>
      <right style="hair">
        <color indexed="55"/>
      </right>
      <top style="thin">
        <color indexed="64"/>
      </top>
      <bottom style="thin">
        <color indexed="64"/>
      </bottom>
      <diagonal/>
    </border>
    <border>
      <left style="hair">
        <color indexed="55"/>
      </left>
      <right style="hair">
        <color indexed="55"/>
      </right>
      <top style="thin">
        <color indexed="64"/>
      </top>
      <bottom style="thin">
        <color indexed="64"/>
      </bottom>
      <diagonal/>
    </border>
    <border>
      <left style="hair">
        <color indexed="55"/>
      </left>
      <right style="medium">
        <color indexed="64"/>
      </right>
      <top style="thin">
        <color indexed="64"/>
      </top>
      <bottom style="thin">
        <color indexed="64"/>
      </bottom>
      <diagonal/>
    </border>
    <border>
      <left style="thin">
        <color indexed="64"/>
      </left>
      <right style="hair">
        <color indexed="55"/>
      </right>
      <top style="medium">
        <color indexed="64"/>
      </top>
      <bottom style="thin">
        <color indexed="64"/>
      </bottom>
      <diagonal/>
    </border>
    <border>
      <left style="hair">
        <color indexed="55"/>
      </left>
      <right style="hair">
        <color indexed="55"/>
      </right>
      <top style="medium">
        <color indexed="64"/>
      </top>
      <bottom style="thin">
        <color indexed="64"/>
      </bottom>
      <diagonal/>
    </border>
    <border>
      <left style="hair">
        <color indexed="55"/>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thin">
        <color indexed="64"/>
      </left>
      <right style="hair">
        <color indexed="22"/>
      </right>
      <top style="thin">
        <color indexed="64"/>
      </top>
      <bottom style="hair">
        <color indexed="22"/>
      </bottom>
      <diagonal/>
    </border>
    <border>
      <left style="hair">
        <color indexed="22"/>
      </left>
      <right style="hair">
        <color indexed="22"/>
      </right>
      <top style="thin">
        <color indexed="64"/>
      </top>
      <bottom style="hair">
        <color indexed="22"/>
      </bottom>
      <diagonal/>
    </border>
    <border>
      <left style="hair">
        <color indexed="22"/>
      </left>
      <right style="medium">
        <color indexed="64"/>
      </right>
      <top style="thin">
        <color indexed="64"/>
      </top>
      <bottom style="hair">
        <color indexed="22"/>
      </bottom>
      <diagonal/>
    </border>
    <border>
      <left style="thin">
        <color indexed="64"/>
      </left>
      <right style="hair">
        <color indexed="22"/>
      </right>
      <top style="hair">
        <color indexed="22"/>
      </top>
      <bottom style="thin">
        <color indexed="64"/>
      </bottom>
      <diagonal/>
    </border>
    <border>
      <left style="hair">
        <color indexed="22"/>
      </left>
      <right style="medium">
        <color indexed="64"/>
      </right>
      <top style="hair">
        <color indexed="22"/>
      </top>
      <bottom style="thin">
        <color indexed="64"/>
      </bottom>
      <diagonal/>
    </border>
    <border>
      <left style="thin">
        <color indexed="64"/>
      </left>
      <right style="hair">
        <color indexed="55"/>
      </right>
      <top style="thin">
        <color indexed="64"/>
      </top>
      <bottom style="hair">
        <color indexed="22"/>
      </bottom>
      <diagonal/>
    </border>
    <border>
      <left style="thin">
        <color indexed="64"/>
      </left>
      <right style="hair">
        <color indexed="55"/>
      </right>
      <top style="hair">
        <color indexed="22"/>
      </top>
      <bottom style="hair">
        <color indexed="22"/>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medium">
        <color indexed="8"/>
      </left>
      <right/>
      <top style="thin">
        <color indexed="8"/>
      </top>
      <bottom style="hair">
        <color indexed="22"/>
      </bottom>
      <diagonal/>
    </border>
    <border>
      <left style="medium">
        <color indexed="8"/>
      </left>
      <right/>
      <top style="hair">
        <color indexed="22"/>
      </top>
      <bottom style="hair">
        <color indexed="22"/>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right style="medium">
        <color indexed="64"/>
      </right>
      <top style="thin">
        <color indexed="64"/>
      </top>
      <bottom style="medium">
        <color indexed="64"/>
      </bottom>
      <diagonal/>
    </border>
    <border>
      <left/>
      <right style="medium">
        <color indexed="64"/>
      </right>
      <top style="medium">
        <color indexed="64"/>
      </top>
      <bottom/>
      <diagonal/>
    </border>
    <border>
      <left style="thin">
        <color indexed="22"/>
      </left>
      <right style="medium">
        <color indexed="64"/>
      </right>
      <top/>
      <bottom style="medium">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hair">
        <color indexed="22"/>
      </top>
      <bottom style="hair">
        <color indexed="22"/>
      </bottom>
      <diagonal/>
    </border>
    <border>
      <left style="thin">
        <color indexed="64"/>
      </left>
      <right style="thin">
        <color indexed="64"/>
      </right>
      <top style="thin">
        <color indexed="64"/>
      </top>
      <bottom style="hair">
        <color indexed="22"/>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hair">
        <color indexed="22"/>
      </top>
      <bottom style="thin">
        <color indexed="64"/>
      </bottom>
      <diagonal/>
    </border>
    <border>
      <left style="medium">
        <color indexed="64"/>
      </left>
      <right style="thin">
        <color indexed="64"/>
      </right>
      <top style="hair">
        <color indexed="22"/>
      </top>
      <bottom style="thin">
        <color indexed="64"/>
      </bottom>
      <diagonal/>
    </border>
    <border>
      <left style="medium">
        <color indexed="8"/>
      </left>
      <right style="thin">
        <color indexed="8"/>
      </right>
      <top style="hair">
        <color indexed="22"/>
      </top>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style="hair">
        <color indexed="64"/>
      </top>
      <bottom/>
      <diagonal/>
    </border>
    <border>
      <left style="medium">
        <color indexed="55"/>
      </left>
      <right/>
      <top style="medium">
        <color indexed="55"/>
      </top>
      <bottom style="medium">
        <color indexed="55"/>
      </bottom>
      <diagonal/>
    </border>
    <border>
      <left/>
      <right/>
      <top style="medium">
        <color indexed="55"/>
      </top>
      <bottom style="medium">
        <color indexed="55"/>
      </bottom>
      <diagonal/>
    </border>
    <border>
      <left/>
      <right style="medium">
        <color indexed="55"/>
      </right>
      <top style="medium">
        <color indexed="55"/>
      </top>
      <bottom style="medium">
        <color indexed="55"/>
      </bottom>
      <diagonal/>
    </border>
    <border>
      <left style="medium">
        <color indexed="55"/>
      </left>
      <right style="medium">
        <color indexed="55"/>
      </right>
      <top/>
      <bottom style="medium">
        <color indexed="55"/>
      </bottom>
      <diagonal/>
    </border>
    <border>
      <left/>
      <right style="medium">
        <color indexed="55"/>
      </right>
      <top/>
      <bottom style="medium">
        <color indexed="55"/>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style="thin">
        <color indexed="64"/>
      </top>
      <bottom/>
      <diagonal/>
    </border>
    <border>
      <left style="thin">
        <color indexed="8"/>
      </left>
      <right/>
      <top style="thin">
        <color indexed="64"/>
      </top>
      <bottom style="medium">
        <color indexed="64"/>
      </bottom>
      <diagonal/>
    </border>
    <border>
      <left style="medium">
        <color indexed="64"/>
      </left>
      <right style="thin">
        <color indexed="8"/>
      </right>
      <top/>
      <bottom style="medium">
        <color indexed="64"/>
      </bottom>
      <diagonal/>
    </border>
    <border>
      <left style="thin">
        <color indexed="64"/>
      </left>
      <right style="hair">
        <color indexed="55"/>
      </right>
      <top style="thin">
        <color indexed="64"/>
      </top>
      <bottom style="medium">
        <color indexed="64"/>
      </bottom>
      <diagonal/>
    </border>
    <border>
      <left style="hair">
        <color indexed="55"/>
      </left>
      <right style="hair">
        <color indexed="55"/>
      </right>
      <top style="thin">
        <color indexed="64"/>
      </top>
      <bottom style="medium">
        <color indexed="64"/>
      </bottom>
      <diagonal/>
    </border>
    <border>
      <left style="thin">
        <color indexed="64"/>
      </left>
      <right style="thin">
        <color indexed="22"/>
      </right>
      <top style="thin">
        <color indexed="64"/>
      </top>
      <bottom style="medium">
        <color indexed="64"/>
      </bottom>
      <diagonal/>
    </border>
    <border>
      <left style="thin">
        <color indexed="64"/>
      </left>
      <right style="thin">
        <color indexed="22"/>
      </right>
      <top/>
      <bottom style="thin">
        <color indexed="64"/>
      </bottom>
      <diagonal/>
    </border>
    <border>
      <left style="thin">
        <color indexed="64"/>
      </left>
      <right style="thin">
        <color indexed="22"/>
      </right>
      <top style="thin">
        <color indexed="64"/>
      </top>
      <bottom/>
      <diagonal/>
    </border>
    <border>
      <left style="medium">
        <color indexed="64"/>
      </left>
      <right/>
      <top/>
      <bottom style="hair">
        <color indexed="22"/>
      </bottom>
      <diagonal/>
    </border>
    <border>
      <left style="thin">
        <color indexed="64"/>
      </left>
      <right style="thin">
        <color indexed="64"/>
      </right>
      <top/>
      <bottom style="hair">
        <color indexed="22"/>
      </bottom>
      <diagonal/>
    </border>
    <border>
      <left style="hair">
        <color indexed="22"/>
      </left>
      <right style="medium">
        <color indexed="64"/>
      </right>
      <top style="hair">
        <color indexed="22"/>
      </top>
      <bottom style="thin">
        <color auto="1"/>
      </bottom>
      <diagonal/>
    </border>
    <border>
      <left style="medium">
        <color indexed="64"/>
      </left>
      <right style="medium">
        <color indexed="64"/>
      </right>
      <top style="hair">
        <color indexed="22"/>
      </top>
      <bottom style="thin">
        <color indexed="64"/>
      </bottom>
      <diagonal/>
    </border>
    <border>
      <left style="thin">
        <color indexed="22"/>
      </left>
      <right style="medium">
        <color auto="1"/>
      </right>
      <top style="thin">
        <color indexed="64"/>
      </top>
      <bottom style="thin">
        <color indexed="64"/>
      </bottom>
      <diagonal/>
    </border>
    <border>
      <left style="thin">
        <color indexed="8"/>
      </left>
      <right/>
      <top/>
      <bottom style="medium">
        <color indexed="8"/>
      </bottom>
      <diagonal/>
    </border>
    <border>
      <left/>
      <right/>
      <top/>
      <bottom style="medium">
        <color indexed="8"/>
      </bottom>
      <diagonal/>
    </border>
    <border>
      <left style="medium">
        <color indexed="64"/>
      </left>
      <right style="medium">
        <color indexed="64"/>
      </right>
      <top/>
      <bottom style="medium">
        <color indexed="8"/>
      </bottom>
      <diagonal/>
    </border>
    <border>
      <left/>
      <right style="medium">
        <color indexed="64"/>
      </right>
      <top/>
      <bottom/>
      <diagonal/>
    </border>
    <border>
      <left style="medium">
        <color indexed="64"/>
      </left>
      <right style="thin">
        <color indexed="64"/>
      </right>
      <top style="hair">
        <color indexed="22"/>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style="hair">
        <color indexed="22"/>
      </bottom>
      <diagonal/>
    </border>
    <border>
      <left style="medium">
        <color indexed="64"/>
      </left>
      <right style="medium">
        <color indexed="64"/>
      </right>
      <top style="hair">
        <color indexed="22"/>
      </top>
      <bottom/>
      <diagonal/>
    </border>
    <border>
      <left style="thin">
        <color theme="0" tint="-0.14993743705557422"/>
      </left>
      <right style="thin">
        <color indexed="22"/>
      </right>
      <top style="thin">
        <color indexed="64"/>
      </top>
      <bottom style="thin">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hair">
        <color indexed="22"/>
      </top>
      <bottom style="hair">
        <color indexed="22"/>
      </bottom>
      <diagonal/>
    </border>
    <border>
      <left style="thin">
        <color theme="0" tint="-0.24994659260841701"/>
      </left>
      <right style="thin">
        <color theme="0" tint="-0.24994659260841701"/>
      </right>
      <top style="thin">
        <color indexed="64"/>
      </top>
      <bottom style="medium">
        <color indexed="64"/>
      </bottom>
      <diagonal/>
    </border>
    <border>
      <left/>
      <right style="medium">
        <color auto="1"/>
      </right>
      <top/>
      <bottom style="medium">
        <color indexed="8"/>
      </bottom>
      <diagonal/>
    </border>
    <border>
      <left style="thin">
        <color theme="0" tint="-0.24994659260841701"/>
      </left>
      <right style="thin">
        <color theme="0" tint="-0.24994659260841701"/>
      </right>
      <top/>
      <bottom style="medium">
        <color indexed="64"/>
      </bottom>
      <diagonal/>
    </border>
    <border>
      <left style="thin">
        <color theme="0" tint="-0.24994659260841701"/>
      </left>
      <right style="thin">
        <color theme="0" tint="-0.24994659260841701"/>
      </right>
      <top/>
      <bottom style="medium">
        <color indexed="8"/>
      </bottom>
      <diagonal/>
    </border>
    <border>
      <left style="thin">
        <color indexed="8"/>
      </left>
      <right/>
      <top/>
      <bottom/>
      <diagonal/>
    </border>
    <border>
      <left style="thin">
        <color indexed="8"/>
      </left>
      <right style="thin">
        <color indexed="64"/>
      </right>
      <top style="thin">
        <color indexed="64"/>
      </top>
      <bottom style="medium">
        <color indexed="64"/>
      </bottom>
      <diagonal/>
    </border>
    <border>
      <left style="thin">
        <color theme="0" tint="-0.24994659260841701"/>
      </left>
      <right style="medium">
        <color auto="1"/>
      </right>
      <top style="thin">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bottom/>
      <diagonal/>
    </border>
    <border>
      <left style="thick">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hair">
        <color indexed="55"/>
      </left>
      <right style="medium">
        <color indexed="64"/>
      </right>
      <top style="thin">
        <color indexed="64"/>
      </top>
      <bottom style="medium">
        <color indexed="64"/>
      </bottom>
      <diagonal/>
    </border>
    <border>
      <left style="thin">
        <color theme="0" tint="-0.14996795556505021"/>
      </left>
      <right/>
      <top style="medium">
        <color indexed="64"/>
      </top>
      <bottom style="thin">
        <color indexed="64"/>
      </bottom>
      <diagonal/>
    </border>
    <border>
      <left style="thin">
        <color theme="0" tint="-0.24994659260841701"/>
      </left>
      <right style="thin">
        <color theme="0" tint="-0.24994659260841701"/>
      </right>
      <top style="medium">
        <color indexed="64"/>
      </top>
      <bottom style="thin">
        <color indexed="64"/>
      </bottom>
      <diagonal/>
    </border>
    <border>
      <left style="thin">
        <color theme="0" tint="-0.24994659260841701"/>
      </left>
      <right style="medium">
        <color auto="1"/>
      </right>
      <top style="medium">
        <color indexed="64"/>
      </top>
      <bottom style="thin">
        <color indexed="64"/>
      </bottom>
      <diagonal/>
    </border>
    <border>
      <left style="thin">
        <color theme="0" tint="-0.24994659260841701"/>
      </left>
      <right style="thin">
        <color theme="0" tint="-0.24994659260841701"/>
      </right>
      <top style="medium">
        <color indexed="64"/>
      </top>
      <bottom style="medium">
        <color indexed="64"/>
      </bottom>
      <diagonal/>
    </border>
    <border>
      <left style="thin">
        <color indexed="64"/>
      </left>
      <right/>
      <top style="hair">
        <color indexed="64"/>
      </top>
      <bottom style="hair">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medium">
        <color indexed="64"/>
      </right>
      <top style="thin">
        <color indexed="64"/>
      </top>
      <bottom style="hair">
        <color indexed="22"/>
      </bottom>
      <diagonal/>
    </border>
    <border>
      <left style="thin">
        <color indexed="64"/>
      </left>
      <right style="medium">
        <color indexed="64"/>
      </right>
      <top style="hair">
        <color indexed="22"/>
      </top>
      <bottom style="hair">
        <color indexed="22"/>
      </bottom>
      <diagonal/>
    </border>
    <border>
      <left style="thin">
        <color indexed="64"/>
      </left>
      <right style="medium">
        <color indexed="64"/>
      </right>
      <top style="hair">
        <color indexed="22"/>
      </top>
      <bottom style="thin">
        <color indexed="64"/>
      </bottom>
      <diagonal/>
    </border>
    <border>
      <left style="medium">
        <color indexed="64"/>
      </left>
      <right style="thin">
        <color indexed="8"/>
      </right>
      <top style="thin">
        <color indexed="64"/>
      </top>
      <bottom/>
      <diagonal/>
    </border>
    <border>
      <left style="thin">
        <color indexed="64"/>
      </left>
      <right style="hair">
        <color indexed="55"/>
      </right>
      <top/>
      <bottom style="medium">
        <color indexed="64"/>
      </bottom>
      <diagonal/>
    </border>
    <border>
      <left style="hair">
        <color indexed="55"/>
      </left>
      <right style="hair">
        <color indexed="55"/>
      </right>
      <top/>
      <bottom style="medium">
        <color indexed="64"/>
      </bottom>
      <diagonal/>
    </border>
    <border>
      <left style="hair">
        <color indexed="55"/>
      </left>
      <right style="medium">
        <color indexed="64"/>
      </right>
      <top/>
      <bottom style="medium">
        <color indexed="64"/>
      </bottom>
      <diagonal/>
    </border>
    <border>
      <left/>
      <right/>
      <top style="thick">
        <color indexed="64"/>
      </top>
      <bottom/>
      <diagonal/>
    </border>
    <border>
      <left style="thick">
        <color indexed="64"/>
      </left>
      <right/>
      <top/>
      <bottom/>
      <diagonal/>
    </border>
    <border>
      <left style="thin">
        <color indexed="64"/>
      </left>
      <right/>
      <top style="medium">
        <color indexed="64"/>
      </top>
      <bottom style="thin">
        <color indexed="64"/>
      </bottom>
      <diagonal/>
    </border>
    <border>
      <left style="hair">
        <color indexed="22"/>
      </left>
      <right/>
      <top style="hair">
        <color indexed="22"/>
      </top>
      <bottom style="hair">
        <color indexed="22"/>
      </bottom>
      <diagonal/>
    </border>
    <border>
      <left style="hair">
        <color indexed="22"/>
      </left>
      <right style="hair">
        <color indexed="22"/>
      </right>
      <top style="thin">
        <color indexed="64"/>
      </top>
      <bottom/>
      <diagonal/>
    </border>
    <border>
      <left style="hair">
        <color indexed="22"/>
      </left>
      <right style="medium">
        <color indexed="64"/>
      </right>
      <top style="thin">
        <color indexed="64"/>
      </top>
      <bottom/>
      <diagonal/>
    </border>
    <border>
      <left style="hair">
        <color indexed="22"/>
      </left>
      <right style="hair">
        <color indexed="22"/>
      </right>
      <top/>
      <bottom style="hair">
        <color indexed="22"/>
      </bottom>
      <diagonal/>
    </border>
    <border>
      <left style="hair">
        <color indexed="22"/>
      </left>
      <right style="medium">
        <color indexed="64"/>
      </right>
      <top/>
      <bottom style="hair">
        <color indexed="22"/>
      </bottom>
      <diagonal/>
    </border>
  </borders>
  <cellStyleXfs count="27">
    <xf numFmtId="0" fontId="0" fillId="0" borderId="0"/>
    <xf numFmtId="43" fontId="1" fillId="0" borderId="0" applyFont="0" applyFill="0" applyBorder="0" applyAlignment="0" applyProtection="0"/>
    <xf numFmtId="14" fontId="13" fillId="0" borderId="0">
      <protection locked="0"/>
    </xf>
    <xf numFmtId="44" fontId="1" fillId="0" borderId="0" applyFont="0" applyFill="0" applyBorder="0" applyAlignment="0" applyProtection="0"/>
    <xf numFmtId="14" fontId="13" fillId="0" borderId="0">
      <protection locked="0"/>
    </xf>
    <xf numFmtId="14" fontId="13" fillId="0" borderId="0">
      <protection locked="0"/>
    </xf>
    <xf numFmtId="14" fontId="13" fillId="0" borderId="0">
      <protection locked="0"/>
    </xf>
    <xf numFmtId="38" fontId="17" fillId="2" borderId="0" applyNumberFormat="0" applyBorder="0" applyAlignment="0" applyProtection="0"/>
    <xf numFmtId="14" fontId="13" fillId="0" borderId="0">
      <protection locked="0"/>
    </xf>
    <xf numFmtId="14" fontId="13" fillId="0" borderId="0">
      <protection locked="0"/>
    </xf>
    <xf numFmtId="0" fontId="2" fillId="0" borderId="0" applyNumberFormat="0" applyFill="0" applyBorder="0" applyAlignment="0" applyProtection="0">
      <alignment vertical="top"/>
      <protection locked="0"/>
    </xf>
    <xf numFmtId="10" fontId="17" fillId="3" borderId="1" applyNumberFormat="0" applyBorder="0" applyAlignment="0" applyProtection="0"/>
    <xf numFmtId="37" fontId="19" fillId="0" borderId="0"/>
    <xf numFmtId="167" fontId="20" fillId="0" borderId="0"/>
    <xf numFmtId="0" fontId="13" fillId="0" borderId="0"/>
    <xf numFmtId="0" fontId="18" fillId="0" borderId="0"/>
    <xf numFmtId="9" fontId="1" fillId="0" borderId="0" applyFont="0" applyFill="0" applyBorder="0" applyAlignment="0" applyProtection="0"/>
    <xf numFmtId="10" fontId="13" fillId="0" borderId="0" applyFont="0" applyFill="0" applyBorder="0" applyAlignment="0" applyProtection="0"/>
    <xf numFmtId="14" fontId="13" fillId="0" borderId="2">
      <protection locked="0"/>
    </xf>
    <xf numFmtId="14" fontId="7" fillId="0" borderId="0">
      <protection locked="0"/>
    </xf>
    <xf numFmtId="14" fontId="7" fillId="0" borderId="0">
      <protection locked="0"/>
    </xf>
    <xf numFmtId="14" fontId="7" fillId="0" borderId="0">
      <protection locked="0"/>
    </xf>
    <xf numFmtId="14" fontId="7" fillId="0" borderId="0">
      <protection locked="0"/>
    </xf>
    <xf numFmtId="14" fontId="7" fillId="0" borderId="0">
      <protection locked="0"/>
    </xf>
    <xf numFmtId="14" fontId="7" fillId="0" borderId="0">
      <protection locked="0"/>
    </xf>
    <xf numFmtId="10" fontId="7" fillId="0" borderId="0" applyFont="0" applyFill="0" applyBorder="0" applyAlignment="0" applyProtection="0"/>
    <xf numFmtId="14" fontId="7" fillId="0" borderId="2">
      <protection locked="0"/>
    </xf>
  </cellStyleXfs>
  <cellXfs count="831">
    <xf numFmtId="0" fontId="0" fillId="0" borderId="0" xfId="0"/>
    <xf numFmtId="0" fontId="3" fillId="0" borderId="0" xfId="0" applyFont="1" applyFill="1" applyProtection="1"/>
    <xf numFmtId="0" fontId="3" fillId="0" borderId="0" xfId="0" applyFont="1" applyProtection="1"/>
    <xf numFmtId="0" fontId="3" fillId="0" borderId="0" xfId="0" applyFont="1" applyBorder="1" applyProtection="1"/>
    <xf numFmtId="165" fontId="3" fillId="0" borderId="0" xfId="1" applyNumberFormat="1" applyFont="1" applyBorder="1" applyProtection="1"/>
    <xf numFmtId="0" fontId="4" fillId="0" borderId="0" xfId="0" applyFont="1" applyFill="1" applyBorder="1" applyAlignment="1" applyProtection="1">
      <alignment horizontal="left" vertical="center"/>
    </xf>
    <xf numFmtId="165" fontId="3" fillId="4" borderId="3" xfId="1" applyNumberFormat="1" applyFont="1" applyFill="1" applyBorder="1" applyAlignment="1" applyProtection="1"/>
    <xf numFmtId="38" fontId="3" fillId="4" borderId="4" xfId="3" applyNumberFormat="1" applyFont="1" applyFill="1" applyBorder="1" applyAlignment="1" applyProtection="1"/>
    <xf numFmtId="0" fontId="9" fillId="0" borderId="0" xfId="0" applyFont="1" applyProtection="1"/>
    <xf numFmtId="0" fontId="9" fillId="0" borderId="0" xfId="0" applyFont="1" applyFill="1" applyBorder="1" applyProtection="1"/>
    <xf numFmtId="165" fontId="6" fillId="0" borderId="5" xfId="1" applyNumberFormat="1" applyFont="1" applyFill="1" applyBorder="1" applyAlignment="1" applyProtection="1">
      <alignment horizontal="center" vertical="center"/>
    </xf>
    <xf numFmtId="0" fontId="3" fillId="0" borderId="6" xfId="0" applyFont="1" applyBorder="1" applyAlignment="1" applyProtection="1">
      <alignment horizontal="left" wrapText="1"/>
    </xf>
    <xf numFmtId="0" fontId="7" fillId="0" borderId="0" xfId="0" applyFont="1" applyAlignment="1" applyProtection="1"/>
    <xf numFmtId="0" fontId="7" fillId="0" borderId="0" xfId="0" applyFont="1" applyProtection="1"/>
    <xf numFmtId="0" fontId="9" fillId="0" borderId="0" xfId="0" applyFont="1" applyBorder="1" applyAlignment="1" applyProtection="1"/>
    <xf numFmtId="165" fontId="9" fillId="0" borderId="0" xfId="1" applyNumberFormat="1" applyFont="1" applyProtection="1"/>
    <xf numFmtId="0" fontId="9" fillId="0" borderId="0" xfId="0" applyFont="1" applyAlignment="1" applyProtection="1"/>
    <xf numFmtId="164" fontId="6" fillId="0" borderId="0" xfId="0" applyNumberFormat="1" applyFont="1" applyBorder="1" applyProtection="1"/>
    <xf numFmtId="0" fontId="9" fillId="0" borderId="0" xfId="0" applyFont="1" applyAlignment="1" applyProtection="1">
      <alignment horizontal="left"/>
    </xf>
    <xf numFmtId="0" fontId="9" fillId="0" borderId="0" xfId="0" applyFont="1" applyBorder="1" applyProtection="1"/>
    <xf numFmtId="165" fontId="6" fillId="0" borderId="0" xfId="1" applyNumberFormat="1" applyFont="1" applyFill="1" applyBorder="1" applyAlignment="1" applyProtection="1">
      <alignment horizontal="center" vertical="center"/>
    </xf>
    <xf numFmtId="38" fontId="7" fillId="0" borderId="7" xfId="3" applyNumberFormat="1" applyFont="1" applyFill="1" applyBorder="1" applyAlignment="1" applyProtection="1"/>
    <xf numFmtId="0" fontId="7" fillId="0" borderId="0" xfId="0" applyFont="1" applyBorder="1" applyAlignment="1" applyProtection="1"/>
    <xf numFmtId="0" fontId="7" fillId="0" borderId="0" xfId="0" applyFont="1" applyFill="1" applyBorder="1" applyAlignment="1" applyProtection="1"/>
    <xf numFmtId="0" fontId="3" fillId="0" borderId="11" xfId="0" applyFont="1" applyBorder="1" applyAlignment="1" applyProtection="1">
      <alignment horizontal="left" wrapText="1"/>
    </xf>
    <xf numFmtId="165" fontId="7" fillId="0" borderId="12" xfId="1" applyNumberFormat="1" applyFont="1" applyBorder="1" applyAlignment="1" applyProtection="1"/>
    <xf numFmtId="165" fontId="7" fillId="0" borderId="13" xfId="1" applyNumberFormat="1" applyFont="1" applyBorder="1" applyAlignment="1" applyProtection="1"/>
    <xf numFmtId="0" fontId="3" fillId="0" borderId="6" xfId="0" applyFont="1" applyFill="1" applyBorder="1" applyAlignment="1" applyProtection="1">
      <alignment horizontal="left" wrapText="1"/>
    </xf>
    <xf numFmtId="5" fontId="6" fillId="0" borderId="15" xfId="3" applyNumberFormat="1" applyFont="1" applyFill="1" applyBorder="1" applyAlignment="1" applyProtection="1">
      <alignment horizontal="center"/>
    </xf>
    <xf numFmtId="165" fontId="9" fillId="0" borderId="0" xfId="1" applyNumberFormat="1" applyFont="1" applyFill="1" applyBorder="1" applyProtection="1"/>
    <xf numFmtId="0" fontId="6" fillId="0" borderId="16" xfId="0" applyFont="1" applyFill="1" applyBorder="1" applyAlignment="1" applyProtection="1">
      <alignment horizontal="left" vertical="center" wrapText="1"/>
    </xf>
    <xf numFmtId="5" fontId="6" fillId="0" borderId="15" xfId="3" applyNumberFormat="1" applyFont="1" applyFill="1" applyBorder="1" applyAlignment="1" applyProtection="1">
      <alignment horizontal="center" vertical="center"/>
    </xf>
    <xf numFmtId="0" fontId="6" fillId="0" borderId="17" xfId="0" applyFont="1" applyFill="1" applyBorder="1" applyAlignment="1" applyProtection="1">
      <alignment horizontal="left" vertical="center" wrapText="1"/>
    </xf>
    <xf numFmtId="165" fontId="7" fillId="0" borderId="18" xfId="1" applyNumberFormat="1" applyFont="1" applyFill="1" applyBorder="1" applyAlignment="1" applyProtection="1"/>
    <xf numFmtId="165" fontId="7" fillId="0" borderId="0" xfId="1" applyNumberFormat="1" applyFont="1" applyBorder="1" applyAlignment="1" applyProtection="1"/>
    <xf numFmtId="0" fontId="3" fillId="0" borderId="19" xfId="0" applyFont="1" applyFill="1" applyBorder="1" applyAlignment="1" applyProtection="1">
      <alignment horizontal="left" wrapText="1"/>
    </xf>
    <xf numFmtId="0" fontId="3" fillId="0" borderId="16" xfId="0" applyFont="1" applyFill="1" applyBorder="1" applyAlignment="1" applyProtection="1">
      <alignment horizontal="left" wrapText="1"/>
    </xf>
    <xf numFmtId="0" fontId="7" fillId="0" borderId="20" xfId="0" applyFont="1" applyBorder="1" applyAlignment="1" applyProtection="1">
      <alignment horizontal="left" wrapText="1" indent="1"/>
    </xf>
    <xf numFmtId="0" fontId="7" fillId="0" borderId="21" xfId="0" applyFont="1" applyBorder="1" applyAlignment="1" applyProtection="1">
      <alignment horizontal="left" wrapText="1" indent="1"/>
    </xf>
    <xf numFmtId="0" fontId="7" fillId="0" borderId="22" xfId="0" applyFont="1" applyBorder="1" applyAlignment="1" applyProtection="1">
      <alignment horizontal="left" wrapText="1" indent="1"/>
    </xf>
    <xf numFmtId="0" fontId="7" fillId="0" borderId="23" xfId="0" applyFont="1" applyBorder="1" applyAlignment="1" applyProtection="1">
      <alignment horizontal="left" wrapText="1" indent="1"/>
    </xf>
    <xf numFmtId="0" fontId="3" fillId="0" borderId="16" xfId="0" applyFont="1" applyBorder="1" applyAlignment="1" applyProtection="1">
      <alignment horizontal="left" wrapText="1"/>
    </xf>
    <xf numFmtId="38" fontId="7" fillId="0" borderId="0" xfId="3" applyNumberFormat="1" applyFont="1" applyFill="1" applyBorder="1" applyAlignment="1" applyProtection="1"/>
    <xf numFmtId="0" fontId="7" fillId="0" borderId="26" xfId="0" applyFont="1" applyBorder="1" applyAlignment="1" applyProtection="1">
      <alignment horizontal="left" wrapText="1" indent="1"/>
    </xf>
    <xf numFmtId="0" fontId="7" fillId="0" borderId="27" xfId="0" applyFont="1" applyBorder="1" applyAlignment="1" applyProtection="1">
      <alignment horizontal="left" wrapText="1" indent="1"/>
    </xf>
    <xf numFmtId="0" fontId="7" fillId="0" borderId="28" xfId="0" applyFont="1" applyBorder="1" applyAlignment="1" applyProtection="1">
      <alignment horizontal="left" wrapText="1" indent="1"/>
    </xf>
    <xf numFmtId="0" fontId="3" fillId="4" borderId="29" xfId="0" applyFont="1" applyFill="1" applyBorder="1" applyAlignment="1" applyProtection="1">
      <alignment horizontal="right" wrapText="1"/>
    </xf>
    <xf numFmtId="0" fontId="7" fillId="0" borderId="30" xfId="0" applyFont="1" applyBorder="1" applyAlignment="1" applyProtection="1">
      <alignment horizontal="left" wrapText="1" indent="1"/>
    </xf>
    <xf numFmtId="0" fontId="7" fillId="0" borderId="22" xfId="0" applyFont="1" applyFill="1" applyBorder="1" applyAlignment="1" applyProtection="1">
      <alignment horizontal="left" wrapText="1" indent="1"/>
    </xf>
    <xf numFmtId="0" fontId="7" fillId="0" borderId="21" xfId="0" applyFont="1" applyFill="1" applyBorder="1" applyAlignment="1" applyProtection="1">
      <alignment horizontal="left" wrapText="1" indent="1"/>
    </xf>
    <xf numFmtId="38" fontId="7" fillId="0" borderId="15" xfId="3" applyNumberFormat="1" applyFont="1" applyFill="1" applyBorder="1" applyAlignment="1" applyProtection="1"/>
    <xf numFmtId="5" fontId="7" fillId="0" borderId="26" xfId="3" applyNumberFormat="1" applyFont="1" applyFill="1" applyBorder="1" applyAlignment="1" applyProtection="1">
      <alignment horizontal="left" indent="1"/>
    </xf>
    <xf numFmtId="0" fontId="7" fillId="0" borderId="31" xfId="0" applyFont="1" applyBorder="1" applyAlignment="1" applyProtection="1">
      <alignment horizontal="left" wrapText="1" indent="1"/>
    </xf>
    <xf numFmtId="0" fontId="7" fillId="0" borderId="0" xfId="0" applyFont="1" applyBorder="1" applyProtection="1"/>
    <xf numFmtId="0" fontId="6" fillId="0" borderId="32" xfId="0" applyFont="1" applyBorder="1" applyAlignment="1" applyProtection="1">
      <alignment horizontal="left" vertical="center" wrapText="1"/>
    </xf>
    <xf numFmtId="38" fontId="3" fillId="4" borderId="34" xfId="3" applyNumberFormat="1" applyFont="1" applyFill="1" applyBorder="1" applyAlignment="1" applyProtection="1"/>
    <xf numFmtId="38" fontId="3" fillId="4" borderId="35" xfId="3" applyNumberFormat="1" applyFont="1" applyFill="1" applyBorder="1" applyAlignment="1" applyProtection="1"/>
    <xf numFmtId="0" fontId="3" fillId="4" borderId="36" xfId="0" applyFont="1" applyFill="1" applyBorder="1" applyAlignment="1" applyProtection="1">
      <alignment horizontal="right" wrapText="1"/>
    </xf>
    <xf numFmtId="0" fontId="9" fillId="0" borderId="0" xfId="0" applyFont="1" applyFill="1" applyBorder="1" applyAlignment="1" applyProtection="1"/>
    <xf numFmtId="0" fontId="6" fillId="0" borderId="0" xfId="0" applyFont="1" applyFill="1" applyBorder="1" applyAlignment="1" applyProtection="1">
      <alignment horizontal="right" wrapText="1"/>
    </xf>
    <xf numFmtId="38" fontId="6" fillId="4" borderId="38" xfId="0" applyNumberFormat="1" applyFont="1" applyFill="1" applyBorder="1" applyAlignment="1" applyProtection="1">
      <alignment horizontal="right" wrapText="1"/>
    </xf>
    <xf numFmtId="38" fontId="6" fillId="4" borderId="39" xfId="0" applyNumberFormat="1" applyFont="1" applyFill="1" applyBorder="1" applyAlignment="1" applyProtection="1">
      <alignment horizontal="right" wrapText="1"/>
    </xf>
    <xf numFmtId="38" fontId="6" fillId="4" borderId="40" xfId="0" applyNumberFormat="1" applyFont="1" applyFill="1" applyBorder="1" applyAlignment="1" applyProtection="1">
      <alignment horizontal="right" wrapText="1"/>
    </xf>
    <xf numFmtId="38" fontId="6" fillId="7" borderId="40" xfId="0" applyNumberFormat="1" applyFont="1" applyFill="1" applyBorder="1" applyAlignment="1" applyProtection="1">
      <alignment horizontal="right" wrapText="1"/>
    </xf>
    <xf numFmtId="38" fontId="6" fillId="4" borderId="4" xfId="0" applyNumberFormat="1" applyFont="1" applyFill="1" applyBorder="1" applyAlignment="1" applyProtection="1">
      <alignment horizontal="right" wrapText="1"/>
    </xf>
    <xf numFmtId="38" fontId="6" fillId="4" borderId="41" xfId="0" applyNumberFormat="1" applyFont="1" applyFill="1" applyBorder="1" applyAlignment="1" applyProtection="1">
      <alignment horizontal="right" wrapText="1"/>
    </xf>
    <xf numFmtId="38" fontId="6" fillId="7" borderId="10" xfId="0" applyNumberFormat="1" applyFont="1" applyFill="1" applyBorder="1" applyAlignment="1" applyProtection="1">
      <alignment horizontal="right" wrapText="1"/>
    </xf>
    <xf numFmtId="38" fontId="6" fillId="7" borderId="42" xfId="0" applyNumberFormat="1" applyFont="1" applyFill="1" applyBorder="1" applyAlignment="1" applyProtection="1">
      <alignment horizontal="right" wrapText="1"/>
    </xf>
    <xf numFmtId="0" fontId="9" fillId="0" borderId="0" xfId="0" applyFont="1" applyBorder="1" applyAlignment="1" applyProtection="1">
      <alignment horizontal="left"/>
    </xf>
    <xf numFmtId="0" fontId="3" fillId="0" borderId="0" xfId="0" applyFont="1" applyFill="1" applyBorder="1" applyProtection="1"/>
    <xf numFmtId="0" fontId="3" fillId="0" borderId="0" xfId="0" applyFont="1" applyFill="1" applyBorder="1" applyAlignment="1" applyProtection="1">
      <alignment horizontal="center" vertical="center"/>
    </xf>
    <xf numFmtId="165" fontId="3" fillId="0" borderId="0" xfId="1" applyNumberFormat="1" applyFont="1" applyFill="1" applyBorder="1" applyProtection="1"/>
    <xf numFmtId="0" fontId="9" fillId="0" borderId="0" xfId="0" applyFont="1" applyFill="1" applyBorder="1" applyAlignment="1" applyProtection="1">
      <alignment horizontal="left"/>
    </xf>
    <xf numFmtId="9" fontId="5" fillId="0" borderId="0" xfId="3" applyNumberFormat="1" applyFont="1" applyFill="1" applyBorder="1" applyAlignment="1" applyProtection="1">
      <alignment horizontal="center" vertical="center"/>
      <protection locked="0"/>
    </xf>
    <xf numFmtId="0" fontId="6" fillId="0" borderId="43" xfId="0" applyFont="1" applyBorder="1" applyAlignment="1" applyProtection="1">
      <alignment horizontal="center" vertical="center" wrapText="1"/>
    </xf>
    <xf numFmtId="5" fontId="6" fillId="0" borderId="44" xfId="3" applyNumberFormat="1" applyFont="1" applyFill="1" applyBorder="1" applyAlignment="1" applyProtection="1">
      <alignment horizontal="center" vertical="center"/>
    </xf>
    <xf numFmtId="5" fontId="6" fillId="0" borderId="45" xfId="3" applyNumberFormat="1" applyFont="1" applyFill="1" applyBorder="1" applyAlignment="1" applyProtection="1">
      <alignment horizontal="center" vertical="center"/>
    </xf>
    <xf numFmtId="5" fontId="6" fillId="0" borderId="46" xfId="3" applyNumberFormat="1" applyFont="1" applyFill="1" applyBorder="1" applyAlignment="1" applyProtection="1">
      <alignment horizontal="center"/>
    </xf>
    <xf numFmtId="38" fontId="7" fillId="0" borderId="47" xfId="3" applyNumberFormat="1" applyFont="1" applyFill="1" applyBorder="1" applyAlignment="1" applyProtection="1"/>
    <xf numFmtId="38" fontId="7" fillId="0" borderId="46" xfId="3" applyNumberFormat="1" applyFont="1" applyFill="1" applyBorder="1" applyAlignment="1" applyProtection="1"/>
    <xf numFmtId="0" fontId="9" fillId="0" borderId="48" xfId="0" applyFont="1" applyBorder="1" applyProtection="1"/>
    <xf numFmtId="0" fontId="6" fillId="0" borderId="49" xfId="0" applyFont="1" applyBorder="1" applyAlignment="1" applyProtection="1">
      <alignment horizontal="center" vertical="center" wrapText="1"/>
    </xf>
    <xf numFmtId="5" fontId="6" fillId="0" borderId="50" xfId="3" applyNumberFormat="1" applyFont="1" applyFill="1" applyBorder="1" applyAlignment="1" applyProtection="1">
      <alignment horizontal="center" vertical="center"/>
    </xf>
    <xf numFmtId="5" fontId="6" fillId="0" borderId="51" xfId="3" applyNumberFormat="1" applyFont="1" applyFill="1" applyBorder="1" applyAlignment="1" applyProtection="1">
      <alignment horizontal="center" vertical="center"/>
    </xf>
    <xf numFmtId="0" fontId="3" fillId="4" borderId="52" xfId="0" applyFont="1" applyFill="1" applyBorder="1" applyAlignment="1" applyProtection="1">
      <alignment horizontal="right" wrapText="1"/>
    </xf>
    <xf numFmtId="38" fontId="6" fillId="7" borderId="53" xfId="0" applyNumberFormat="1" applyFont="1" applyFill="1" applyBorder="1" applyAlignment="1" applyProtection="1">
      <alignment horizontal="right" wrapText="1"/>
    </xf>
    <xf numFmtId="38" fontId="6" fillId="7" borderId="25" xfId="0" applyNumberFormat="1" applyFont="1" applyFill="1" applyBorder="1" applyAlignment="1" applyProtection="1">
      <alignment horizontal="right" wrapText="1"/>
    </xf>
    <xf numFmtId="0" fontId="6" fillId="7" borderId="54" xfId="0" applyFont="1" applyFill="1" applyBorder="1" applyAlignment="1" applyProtection="1">
      <alignment horizontal="right" wrapText="1"/>
    </xf>
    <xf numFmtId="0" fontId="6" fillId="7" borderId="55" xfId="0" applyFont="1" applyFill="1" applyBorder="1" applyAlignment="1" applyProtection="1">
      <alignment horizontal="right" wrapText="1"/>
    </xf>
    <xf numFmtId="0" fontId="3" fillId="4" borderId="55" xfId="0" applyFont="1" applyFill="1" applyBorder="1" applyAlignment="1" applyProtection="1">
      <alignment horizontal="right" wrapText="1"/>
    </xf>
    <xf numFmtId="0" fontId="3" fillId="0" borderId="56" xfId="0" applyFont="1" applyFill="1" applyBorder="1" applyAlignment="1" applyProtection="1">
      <alignment horizontal="left" wrapText="1"/>
    </xf>
    <xf numFmtId="0" fontId="6" fillId="4" borderId="54" xfId="0" applyFont="1" applyFill="1" applyBorder="1" applyAlignment="1" applyProtection="1">
      <alignment horizontal="right" vertical="center" wrapText="1"/>
    </xf>
    <xf numFmtId="0" fontId="3" fillId="4" borderId="57" xfId="0" applyFont="1" applyFill="1" applyBorder="1" applyAlignment="1" applyProtection="1">
      <alignment horizontal="right" wrapText="1"/>
    </xf>
    <xf numFmtId="0" fontId="3" fillId="4" borderId="37" xfId="0" applyFont="1" applyFill="1" applyBorder="1" applyAlignment="1" applyProtection="1">
      <alignment horizontal="right" wrapText="1"/>
    </xf>
    <xf numFmtId="38" fontId="3" fillId="4" borderId="14" xfId="3" applyNumberFormat="1" applyFont="1" applyFill="1" applyBorder="1" applyAlignment="1" applyProtection="1"/>
    <xf numFmtId="165" fontId="3" fillId="4" borderId="58" xfId="1" applyNumberFormat="1" applyFont="1" applyFill="1" applyBorder="1" applyAlignment="1" applyProtection="1"/>
    <xf numFmtId="38" fontId="6" fillId="0" borderId="0" xfId="0" applyNumberFormat="1" applyFont="1" applyFill="1" applyBorder="1" applyAlignment="1" applyProtection="1">
      <alignment horizontal="right" wrapText="1"/>
    </xf>
    <xf numFmtId="5" fontId="6" fillId="0" borderId="33" xfId="3" applyNumberFormat="1" applyFont="1" applyFill="1" applyBorder="1" applyAlignment="1" applyProtection="1">
      <alignment horizontal="center"/>
    </xf>
    <xf numFmtId="0" fontId="11" fillId="0" borderId="16" xfId="0" applyFont="1" applyFill="1" applyBorder="1" applyAlignment="1" applyProtection="1">
      <alignment horizontal="left" vertical="center" wrapText="1"/>
    </xf>
    <xf numFmtId="5" fontId="11" fillId="0" borderId="32" xfId="3" applyNumberFormat="1" applyFont="1" applyFill="1" applyBorder="1" applyAlignment="1" applyProtection="1">
      <alignment horizontal="left"/>
    </xf>
    <xf numFmtId="0" fontId="9" fillId="0" borderId="0" xfId="0" applyFont="1" applyAlignment="1">
      <alignment horizontal="center" vertical="center"/>
    </xf>
    <xf numFmtId="0" fontId="9" fillId="0" borderId="0" xfId="0" applyFont="1"/>
    <xf numFmtId="0" fontId="9" fillId="0" borderId="0" xfId="0" applyFont="1" applyFill="1"/>
    <xf numFmtId="0" fontId="6" fillId="0" borderId="0" xfId="0" applyFont="1" applyFill="1" applyBorder="1" applyAlignment="1">
      <alignment horizontal="center" vertical="center" wrapText="1"/>
    </xf>
    <xf numFmtId="0" fontId="7" fillId="0" borderId="0" xfId="0" applyFont="1" applyBorder="1" applyAlignment="1" applyProtection="1">
      <alignment horizontal="left" wrapText="1" indent="1"/>
    </xf>
    <xf numFmtId="0" fontId="7" fillId="0" borderId="31" xfId="0" applyFont="1" applyFill="1" applyBorder="1" applyAlignment="1" applyProtection="1">
      <alignment horizontal="left" wrapText="1" indent="1"/>
    </xf>
    <xf numFmtId="0" fontId="7" fillId="0" borderId="59" xfId="0" applyFont="1" applyBorder="1" applyAlignment="1" applyProtection="1">
      <alignment horizontal="left" wrapText="1" indent="1"/>
    </xf>
    <xf numFmtId="0" fontId="7" fillId="0" borderId="33" xfId="0" applyFont="1" applyBorder="1" applyAlignment="1" applyProtection="1">
      <alignment horizontal="left" wrapText="1" indent="1"/>
    </xf>
    <xf numFmtId="0" fontId="6" fillId="0" borderId="0" xfId="0" applyFont="1" applyBorder="1" applyAlignment="1">
      <alignment horizontal="center" vertical="center"/>
    </xf>
    <xf numFmtId="0" fontId="10" fillId="0" borderId="0" xfId="0" applyFont="1" applyFill="1" applyBorder="1" applyAlignment="1">
      <alignment horizontal="right" vertical="center" wrapText="1"/>
    </xf>
    <xf numFmtId="0" fontId="7" fillId="0" borderId="0" xfId="0" applyFont="1" applyBorder="1" applyAlignment="1">
      <alignment horizontal="center"/>
    </xf>
    <xf numFmtId="0" fontId="3" fillId="0" borderId="16" xfId="0" applyFont="1" applyFill="1" applyBorder="1" applyAlignment="1" applyProtection="1">
      <alignment horizontal="center" wrapText="1"/>
    </xf>
    <xf numFmtId="0" fontId="7" fillId="0" borderId="20" xfId="0" applyFont="1" applyBorder="1" applyAlignment="1" applyProtection="1">
      <alignment horizontal="center" wrapText="1"/>
    </xf>
    <xf numFmtId="0" fontId="7" fillId="0" borderId="21" xfId="0" applyFont="1" applyBorder="1" applyAlignment="1" applyProtection="1">
      <alignment horizontal="center" wrapText="1"/>
    </xf>
    <xf numFmtId="0" fontId="7" fillId="0" borderId="31" xfId="0" applyFont="1" applyBorder="1" applyAlignment="1" applyProtection="1">
      <alignment horizontal="center" wrapText="1"/>
    </xf>
    <xf numFmtId="0" fontId="3" fillId="4" borderId="55" xfId="0" applyFont="1" applyFill="1" applyBorder="1" applyAlignment="1" applyProtection="1">
      <alignment horizontal="center" wrapText="1"/>
    </xf>
    <xf numFmtId="0" fontId="3" fillId="0" borderId="19" xfId="0" applyFont="1" applyFill="1" applyBorder="1" applyAlignment="1" applyProtection="1">
      <alignment horizontal="center" wrapText="1"/>
    </xf>
    <xf numFmtId="0" fontId="3" fillId="4" borderId="29" xfId="0" applyFont="1" applyFill="1" applyBorder="1" applyAlignment="1" applyProtection="1">
      <alignment horizontal="center" wrapText="1"/>
    </xf>
    <xf numFmtId="0" fontId="3" fillId="0" borderId="16" xfId="0" applyFont="1" applyBorder="1" applyAlignment="1" applyProtection="1">
      <alignment horizontal="center" wrapText="1"/>
    </xf>
    <xf numFmtId="0" fontId="7" fillId="0" borderId="26" xfId="0" applyFont="1" applyBorder="1" applyAlignment="1" applyProtection="1">
      <alignment horizontal="center" wrapText="1"/>
    </xf>
    <xf numFmtId="0" fontId="7" fillId="0" borderId="27" xfId="0" applyFont="1" applyBorder="1" applyAlignment="1" applyProtection="1">
      <alignment horizontal="center" wrapText="1"/>
    </xf>
    <xf numFmtId="0" fontId="7" fillId="0" borderId="28" xfId="0" applyFont="1" applyBorder="1" applyAlignment="1" applyProtection="1">
      <alignment horizontal="center" wrapText="1"/>
    </xf>
    <xf numFmtId="0" fontId="3" fillId="0" borderId="11" xfId="0" applyFont="1" applyBorder="1" applyAlignment="1" applyProtection="1">
      <alignment horizontal="center" wrapText="1"/>
    </xf>
    <xf numFmtId="0" fontId="7" fillId="0" borderId="30" xfId="0" applyFont="1" applyBorder="1" applyAlignment="1" applyProtection="1">
      <alignment horizontal="center" wrapText="1"/>
    </xf>
    <xf numFmtId="0" fontId="3" fillId="4" borderId="52" xfId="0" applyFont="1" applyFill="1" applyBorder="1" applyAlignment="1" applyProtection="1">
      <alignment horizontal="center" wrapText="1"/>
    </xf>
    <xf numFmtId="0" fontId="3" fillId="0" borderId="6" xfId="0" applyFont="1" applyBorder="1" applyAlignment="1" applyProtection="1">
      <alignment horizontal="center" wrapText="1"/>
    </xf>
    <xf numFmtId="0" fontId="3" fillId="0" borderId="6" xfId="0" applyFont="1" applyFill="1" applyBorder="1" applyAlignment="1" applyProtection="1">
      <alignment horizontal="center" wrapText="1"/>
    </xf>
    <xf numFmtId="0" fontId="7" fillId="0" borderId="63" xfId="0" applyFont="1" applyBorder="1" applyAlignment="1" applyProtection="1">
      <alignment horizontal="center" wrapText="1"/>
    </xf>
    <xf numFmtId="0" fontId="7" fillId="0" borderId="64" xfId="0" applyFont="1" applyBorder="1" applyAlignment="1" applyProtection="1">
      <alignment horizontal="center" wrapText="1"/>
    </xf>
    <xf numFmtId="0" fontId="3" fillId="4" borderId="37" xfId="0" applyFont="1" applyFill="1" applyBorder="1" applyAlignment="1" applyProtection="1">
      <alignment horizontal="center" wrapText="1"/>
    </xf>
    <xf numFmtId="0" fontId="3" fillId="4" borderId="57" xfId="0" applyFont="1" applyFill="1" applyBorder="1" applyAlignment="1" applyProtection="1">
      <alignment horizontal="center" wrapText="1"/>
    </xf>
    <xf numFmtId="0" fontId="3" fillId="4" borderId="36" xfId="0" applyFont="1" applyFill="1" applyBorder="1" applyAlignment="1" applyProtection="1">
      <alignment horizontal="center" wrapText="1"/>
    </xf>
    <xf numFmtId="0" fontId="4" fillId="0" borderId="0" xfId="0" applyFont="1" applyFill="1" applyBorder="1" applyAlignment="1" applyProtection="1">
      <alignment horizontal="center" vertical="center"/>
    </xf>
    <xf numFmtId="0" fontId="10" fillId="2" borderId="1" xfId="0" applyFont="1" applyFill="1" applyBorder="1" applyAlignment="1">
      <alignment horizontal="right" vertical="center" wrapText="1"/>
    </xf>
    <xf numFmtId="0" fontId="6"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0" borderId="65" xfId="0" applyFont="1" applyBorder="1" applyAlignment="1" applyProtection="1">
      <alignment horizontal="center" vertical="center" wrapText="1"/>
    </xf>
    <xf numFmtId="0" fontId="6" fillId="0" borderId="66" xfId="0" applyFont="1" applyBorder="1" applyAlignment="1" applyProtection="1">
      <alignment horizontal="center" vertical="center" wrapText="1"/>
    </xf>
    <xf numFmtId="0" fontId="7" fillId="0" borderId="22" xfId="0" applyFont="1" applyBorder="1" applyAlignment="1" applyProtection="1">
      <alignment horizontal="center" wrapText="1"/>
    </xf>
    <xf numFmtId="0" fontId="7" fillId="0" borderId="23" xfId="0" applyFont="1" applyBorder="1" applyAlignment="1" applyProtection="1">
      <alignment horizontal="center" wrapText="1"/>
    </xf>
    <xf numFmtId="5" fontId="6" fillId="0" borderId="32" xfId="3" applyNumberFormat="1" applyFont="1" applyFill="1" applyBorder="1" applyAlignment="1" applyProtection="1">
      <alignment horizontal="left"/>
    </xf>
    <xf numFmtId="0" fontId="3" fillId="0" borderId="6" xfId="0" applyFont="1" applyBorder="1" applyAlignment="1" applyProtection="1">
      <alignment horizontal="center" vertical="center" wrapText="1"/>
    </xf>
    <xf numFmtId="0" fontId="3" fillId="0" borderId="6" xfId="0" applyFont="1" applyBorder="1" applyAlignment="1" applyProtection="1">
      <alignment horizontal="left" vertical="center" wrapText="1"/>
    </xf>
    <xf numFmtId="38" fontId="7" fillId="0" borderId="7" xfId="3" applyNumberFormat="1" applyFont="1" applyFill="1" applyBorder="1" applyAlignment="1" applyProtection="1">
      <alignment vertical="center"/>
    </xf>
    <xf numFmtId="0" fontId="7" fillId="0" borderId="0" xfId="0" applyFont="1" applyBorder="1" applyAlignment="1" applyProtection="1">
      <alignment vertical="center"/>
    </xf>
    <xf numFmtId="0" fontId="7" fillId="0" borderId="0" xfId="0" applyFont="1" applyAlignment="1" applyProtection="1">
      <alignment vertical="center"/>
    </xf>
    <xf numFmtId="0" fontId="3" fillId="0" borderId="56" xfId="0" applyFont="1" applyBorder="1" applyAlignment="1" applyProtection="1">
      <alignment horizontal="center" vertical="center" wrapText="1"/>
    </xf>
    <xf numFmtId="0" fontId="3" fillId="0" borderId="56" xfId="0" applyFont="1" applyBorder="1" applyAlignment="1" applyProtection="1">
      <alignment horizontal="left" vertical="center"/>
    </xf>
    <xf numFmtId="38" fontId="7" fillId="0" borderId="18" xfId="3" applyNumberFormat="1" applyFont="1" applyFill="1" applyBorder="1" applyAlignment="1" applyProtection="1">
      <alignment vertical="center"/>
    </xf>
    <xf numFmtId="165" fontId="7" fillId="0" borderId="18" xfId="1" applyNumberFormat="1" applyFont="1" applyBorder="1" applyAlignment="1" applyProtection="1">
      <alignment vertical="center"/>
    </xf>
    <xf numFmtId="165" fontId="7" fillId="0" borderId="7" xfId="1" applyNumberFormat="1" applyFont="1" applyBorder="1" applyAlignment="1" applyProtection="1">
      <alignment vertical="center"/>
    </xf>
    <xf numFmtId="0" fontId="6" fillId="2" borderId="67"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2" borderId="0" xfId="0" applyFont="1" applyFill="1" applyAlignment="1">
      <alignment horizontal="center" vertical="center"/>
    </xf>
    <xf numFmtId="0" fontId="7" fillId="0" borderId="12" xfId="0" applyFont="1" applyBorder="1" applyAlignment="1" applyProtection="1">
      <alignment horizontal="center" wrapText="1"/>
    </xf>
    <xf numFmtId="0" fontId="7" fillId="0" borderId="68" xfId="0" applyFont="1" applyBorder="1" applyAlignment="1" applyProtection="1">
      <alignment horizontal="left" wrapText="1"/>
    </xf>
    <xf numFmtId="0" fontId="7" fillId="0" borderId="13" xfId="0" applyFont="1" applyFill="1" applyBorder="1" applyAlignment="1" applyProtection="1">
      <alignment horizontal="center" wrapText="1"/>
    </xf>
    <xf numFmtId="0" fontId="7" fillId="0" borderId="69" xfId="0" applyFont="1" applyFill="1" applyBorder="1" applyAlignment="1" applyProtection="1">
      <alignment horizontal="left" wrapText="1"/>
    </xf>
    <xf numFmtId="0" fontId="7" fillId="0" borderId="70" xfId="0" applyFont="1" applyFill="1" applyBorder="1" applyAlignment="1" applyProtection="1">
      <alignment horizontal="center" wrapText="1"/>
    </xf>
    <xf numFmtId="0" fontId="7" fillId="0" borderId="71" xfId="0" applyFont="1" applyFill="1" applyBorder="1" applyAlignment="1" applyProtection="1">
      <alignment horizontal="left" wrapText="1"/>
    </xf>
    <xf numFmtId="0" fontId="7" fillId="0" borderId="13" xfId="0" applyFont="1" applyBorder="1" applyAlignment="1" applyProtection="1">
      <alignment horizontal="center" wrapText="1"/>
    </xf>
    <xf numFmtId="0" fontId="7" fillId="0" borderId="70" xfId="0" applyFont="1" applyBorder="1" applyAlignment="1" applyProtection="1">
      <alignment horizontal="center" wrapText="1"/>
    </xf>
    <xf numFmtId="40" fontId="9" fillId="0" borderId="0" xfId="0" applyNumberFormat="1" applyFont="1" applyBorder="1" applyAlignment="1" applyProtection="1"/>
    <xf numFmtId="0" fontId="14" fillId="0" borderId="0" xfId="0" applyFont="1" applyFill="1" applyBorder="1" applyAlignment="1" applyProtection="1">
      <alignment horizontal="right" vertical="center"/>
    </xf>
    <xf numFmtId="0" fontId="9" fillId="0" borderId="0" xfId="0" applyFont="1" applyFill="1" applyAlignment="1">
      <alignment vertical="center"/>
    </xf>
    <xf numFmtId="0" fontId="9" fillId="0" borderId="0" xfId="0" applyFont="1" applyFill="1" applyBorder="1" applyAlignment="1">
      <alignment vertical="center"/>
    </xf>
    <xf numFmtId="0" fontId="9" fillId="0" borderId="0" xfId="0" applyFont="1" applyBorder="1" applyAlignment="1"/>
    <xf numFmtId="0" fontId="6" fillId="4" borderId="54" xfId="0" applyFont="1" applyFill="1" applyBorder="1" applyAlignment="1" applyProtection="1">
      <alignment horizontal="center" wrapText="1"/>
    </xf>
    <xf numFmtId="0" fontId="6" fillId="4" borderId="54" xfId="0" applyFont="1" applyFill="1" applyBorder="1" applyAlignment="1" applyProtection="1">
      <alignment horizontal="right" wrapText="1"/>
    </xf>
    <xf numFmtId="38" fontId="6" fillId="4" borderId="53" xfId="0" applyNumberFormat="1" applyFont="1" applyFill="1" applyBorder="1" applyAlignment="1" applyProtection="1">
      <alignment horizontal="right" wrapText="1"/>
    </xf>
    <xf numFmtId="38" fontId="6" fillId="4" borderId="72" xfId="0" applyNumberFormat="1" applyFont="1" applyFill="1" applyBorder="1" applyAlignment="1" applyProtection="1">
      <alignment horizontal="right" wrapText="1"/>
    </xf>
    <xf numFmtId="38" fontId="6" fillId="4" borderId="73" xfId="0" applyNumberFormat="1" applyFont="1" applyFill="1" applyBorder="1" applyAlignment="1" applyProtection="1">
      <alignment horizontal="right" wrapText="1"/>
    </xf>
    <xf numFmtId="38" fontId="6" fillId="4" borderId="74" xfId="0" applyNumberFormat="1" applyFont="1" applyFill="1" applyBorder="1" applyAlignment="1" applyProtection="1">
      <alignment horizontal="right" wrapText="1"/>
    </xf>
    <xf numFmtId="40" fontId="6" fillId="4" borderId="73" xfId="0" applyNumberFormat="1" applyFont="1" applyFill="1" applyBorder="1" applyAlignment="1" applyProtection="1">
      <alignment horizontal="right" wrapText="1"/>
    </xf>
    <xf numFmtId="9" fontId="14" fillId="0" borderId="0" xfId="3" applyNumberFormat="1" applyFont="1" applyFill="1" applyBorder="1" applyAlignment="1" applyProtection="1">
      <alignment horizontal="center" vertical="center"/>
    </xf>
    <xf numFmtId="0" fontId="6" fillId="0" borderId="49" xfId="0" applyFont="1" applyBorder="1" applyAlignment="1" applyProtection="1">
      <alignment horizontal="right" vertical="center" wrapText="1"/>
    </xf>
    <xf numFmtId="38" fontId="6" fillId="4" borderId="75" xfId="0" applyNumberFormat="1" applyFont="1" applyFill="1" applyBorder="1" applyAlignment="1" applyProtection="1">
      <alignment horizontal="right" wrapText="1"/>
    </xf>
    <xf numFmtId="38" fontId="6" fillId="4" borderId="76" xfId="0" applyNumberFormat="1" applyFont="1" applyFill="1" applyBorder="1" applyAlignment="1" applyProtection="1">
      <alignment horizontal="right" wrapText="1"/>
    </xf>
    <xf numFmtId="38" fontId="6" fillId="4" borderId="77" xfId="0" applyNumberFormat="1" applyFont="1" applyFill="1" applyBorder="1" applyAlignment="1" applyProtection="1">
      <alignment horizontal="right" wrapText="1"/>
    </xf>
    <xf numFmtId="0" fontId="6" fillId="0" borderId="0" xfId="0" applyFont="1" applyFill="1" applyBorder="1" applyAlignment="1" applyProtection="1">
      <alignment horizontal="center" wrapText="1"/>
    </xf>
    <xf numFmtId="40" fontId="6" fillId="4" borderId="74" xfId="0" applyNumberFormat="1" applyFont="1" applyFill="1" applyBorder="1" applyAlignment="1" applyProtection="1">
      <alignment horizontal="right" wrapText="1"/>
    </xf>
    <xf numFmtId="40" fontId="6" fillId="4" borderId="72" xfId="0" applyNumberFormat="1" applyFont="1" applyFill="1" applyBorder="1" applyAlignment="1" applyProtection="1">
      <alignment horizontal="right" wrapText="1"/>
    </xf>
    <xf numFmtId="0" fontId="5" fillId="0" borderId="0" xfId="0" applyFont="1" applyFill="1" applyBorder="1" applyAlignment="1" applyProtection="1">
      <alignment horizontal="left" vertical="center"/>
    </xf>
    <xf numFmtId="0" fontId="6" fillId="2" borderId="1" xfId="0" applyFont="1" applyFill="1" applyBorder="1" applyAlignment="1">
      <alignment horizontal="center"/>
    </xf>
    <xf numFmtId="0" fontId="6" fillId="4" borderId="78" xfId="0" applyFont="1" applyFill="1" applyBorder="1" applyAlignment="1" applyProtection="1">
      <alignment horizontal="left" wrapText="1"/>
    </xf>
    <xf numFmtId="0" fontId="6" fillId="4" borderId="45" xfId="0" applyFont="1" applyFill="1" applyBorder="1" applyAlignment="1" applyProtection="1">
      <alignment horizontal="center" wrapText="1"/>
    </xf>
    <xf numFmtId="0" fontId="6" fillId="4" borderId="43" xfId="0" applyFont="1" applyFill="1" applyBorder="1" applyAlignment="1" applyProtection="1">
      <alignment horizontal="center" wrapText="1"/>
    </xf>
    <xf numFmtId="0" fontId="6" fillId="8" borderId="54" xfId="0" applyFont="1" applyFill="1" applyBorder="1" applyAlignment="1" applyProtection="1">
      <alignment horizontal="center" wrapText="1"/>
    </xf>
    <xf numFmtId="0" fontId="6" fillId="8" borderId="54" xfId="0" applyFont="1" applyFill="1" applyBorder="1" applyAlignment="1" applyProtection="1">
      <alignment horizontal="right" wrapText="1"/>
    </xf>
    <xf numFmtId="0" fontId="6" fillId="4" borderId="78" xfId="0" applyFont="1" applyFill="1" applyBorder="1" applyAlignment="1" applyProtection="1">
      <alignment horizontal="right" wrapText="1"/>
    </xf>
    <xf numFmtId="0" fontId="4" fillId="0" borderId="0" xfId="0" applyFont="1" applyFill="1" applyBorder="1" applyAlignment="1" applyProtection="1">
      <alignment horizontal="right" vertical="center"/>
    </xf>
    <xf numFmtId="38" fontId="21" fillId="6" borderId="79" xfId="3" applyNumberFormat="1" applyFont="1" applyFill="1" applyBorder="1" applyAlignment="1" applyProtection="1">
      <protection locked="0"/>
    </xf>
    <xf numFmtId="38" fontId="21" fillId="5" borderId="80" xfId="3" applyNumberFormat="1" applyFont="1" applyFill="1" applyBorder="1" applyAlignment="1" applyProtection="1">
      <protection locked="0"/>
    </xf>
    <xf numFmtId="38" fontId="21" fillId="6" borderId="80" xfId="3" applyNumberFormat="1" applyFont="1" applyFill="1" applyBorder="1" applyAlignment="1" applyProtection="1">
      <protection locked="0"/>
    </xf>
    <xf numFmtId="38" fontId="21" fillId="5" borderId="81" xfId="3" applyNumberFormat="1" applyFont="1" applyFill="1" applyBorder="1" applyAlignment="1" applyProtection="1">
      <protection locked="0"/>
    </xf>
    <xf numFmtId="38" fontId="21" fillId="6" borderId="24" xfId="3" applyNumberFormat="1" applyFont="1" applyFill="1" applyBorder="1" applyAlignment="1" applyProtection="1">
      <protection locked="0"/>
    </xf>
    <xf numFmtId="38" fontId="21" fillId="5" borderId="8" xfId="3" applyNumberFormat="1" applyFont="1" applyFill="1" applyBorder="1" applyAlignment="1" applyProtection="1">
      <protection locked="0"/>
    </xf>
    <xf numFmtId="38" fontId="21" fillId="6" borderId="8" xfId="3" applyNumberFormat="1" applyFont="1" applyFill="1" applyBorder="1" applyAlignment="1" applyProtection="1">
      <protection locked="0"/>
    </xf>
    <xf numFmtId="38" fontId="21" fillId="5" borderId="9" xfId="3" applyNumberFormat="1" applyFont="1" applyFill="1" applyBorder="1" applyAlignment="1" applyProtection="1">
      <protection locked="0"/>
    </xf>
    <xf numFmtId="37" fontId="6" fillId="4" borderId="72" xfId="0" applyNumberFormat="1" applyFont="1" applyFill="1" applyBorder="1" applyAlignment="1" applyProtection="1">
      <alignment horizontal="right" wrapText="1"/>
    </xf>
    <xf numFmtId="37" fontId="6" fillId="4" borderId="73" xfId="0" applyNumberFormat="1" applyFont="1" applyFill="1" applyBorder="1" applyAlignment="1" applyProtection="1">
      <alignment horizontal="right" wrapText="1"/>
    </xf>
    <xf numFmtId="37" fontId="6" fillId="4" borderId="74" xfId="0" applyNumberFormat="1" applyFont="1" applyFill="1" applyBorder="1" applyAlignment="1" applyProtection="1">
      <alignment horizontal="right" wrapText="1"/>
    </xf>
    <xf numFmtId="0" fontId="3" fillId="0" borderId="0" xfId="0" applyFont="1" applyAlignment="1" applyProtection="1"/>
    <xf numFmtId="38" fontId="26" fillId="6" borderId="79" xfId="3" applyNumberFormat="1" applyFont="1" applyFill="1" applyBorder="1" applyAlignment="1" applyProtection="1"/>
    <xf numFmtId="38" fontId="26" fillId="5" borderId="80" xfId="3" applyNumberFormat="1" applyFont="1" applyFill="1" applyBorder="1" applyAlignment="1" applyProtection="1"/>
    <xf numFmtId="38" fontId="26" fillId="6" borderId="80" xfId="3" applyNumberFormat="1" applyFont="1" applyFill="1" applyBorder="1" applyAlignment="1" applyProtection="1"/>
    <xf numFmtId="38" fontId="26" fillId="5" borderId="81" xfId="3" applyNumberFormat="1" applyFont="1" applyFill="1" applyBorder="1" applyAlignment="1" applyProtection="1"/>
    <xf numFmtId="38" fontId="26" fillId="6" borderId="24" xfId="3" applyNumberFormat="1" applyFont="1" applyFill="1" applyBorder="1" applyAlignment="1" applyProtection="1"/>
    <xf numFmtId="38" fontId="26" fillId="5" borderId="8" xfId="3" applyNumberFormat="1" applyFont="1" applyFill="1" applyBorder="1" applyAlignment="1" applyProtection="1"/>
    <xf numFmtId="38" fontId="26" fillId="6" borderId="8" xfId="3" applyNumberFormat="1" applyFont="1" applyFill="1" applyBorder="1" applyAlignment="1" applyProtection="1"/>
    <xf numFmtId="38" fontId="26" fillId="5" borderId="9" xfId="3" applyNumberFormat="1" applyFont="1" applyFill="1" applyBorder="1" applyAlignment="1" applyProtection="1"/>
    <xf numFmtId="38" fontId="26" fillId="6" borderId="82" xfId="3" applyNumberFormat="1" applyFont="1" applyFill="1" applyBorder="1" applyAlignment="1" applyProtection="1"/>
    <xf numFmtId="38" fontId="26" fillId="5" borderId="83" xfId="3" applyNumberFormat="1" applyFont="1" applyFill="1" applyBorder="1" applyAlignment="1" applyProtection="1"/>
    <xf numFmtId="38" fontId="26" fillId="6" borderId="84" xfId="3" applyNumberFormat="1" applyFont="1" applyFill="1" applyBorder="1" applyAlignment="1" applyProtection="1"/>
    <xf numFmtId="38" fontId="26" fillId="6" borderId="85" xfId="3" applyNumberFormat="1" applyFont="1" applyFill="1" applyBorder="1" applyAlignment="1" applyProtection="1"/>
    <xf numFmtId="165" fontId="3" fillId="0" borderId="12" xfId="1" applyNumberFormat="1" applyFont="1" applyBorder="1" applyAlignment="1" applyProtection="1"/>
    <xf numFmtId="165" fontId="3" fillId="0" borderId="13" xfId="1" applyNumberFormat="1" applyFont="1" applyBorder="1" applyAlignment="1" applyProtection="1"/>
    <xf numFmtId="165" fontId="3" fillId="0" borderId="58" xfId="1" applyNumberFormat="1" applyFont="1" applyBorder="1" applyAlignment="1" applyProtection="1"/>
    <xf numFmtId="165" fontId="3" fillId="0" borderId="7" xfId="1" applyNumberFormat="1" applyFont="1" applyFill="1" applyBorder="1" applyAlignment="1" applyProtection="1"/>
    <xf numFmtId="165" fontId="6" fillId="0" borderId="33" xfId="1" applyNumberFormat="1" applyFont="1" applyFill="1" applyBorder="1" applyProtection="1"/>
    <xf numFmtId="165" fontId="3" fillId="0" borderId="0" xfId="1" applyNumberFormat="1" applyFont="1" applyBorder="1" applyAlignment="1" applyProtection="1"/>
    <xf numFmtId="165" fontId="3" fillId="0" borderId="70" xfId="1" applyNumberFormat="1" applyFont="1" applyBorder="1" applyAlignment="1" applyProtection="1"/>
    <xf numFmtId="165" fontId="3" fillId="0" borderId="0" xfId="1" applyNumberFormat="1" applyFont="1" applyFill="1" applyBorder="1" applyAlignment="1" applyProtection="1"/>
    <xf numFmtId="165" fontId="3" fillId="0" borderId="7" xfId="1" applyNumberFormat="1" applyFont="1" applyBorder="1" applyAlignment="1" applyProtection="1">
      <alignment vertical="center"/>
    </xf>
    <xf numFmtId="37" fontId="9" fillId="4" borderId="72" xfId="0" applyNumberFormat="1" applyFont="1" applyFill="1" applyBorder="1" applyAlignment="1" applyProtection="1">
      <alignment horizontal="right" wrapText="1"/>
    </xf>
    <xf numFmtId="37" fontId="9" fillId="4" borderId="73" xfId="0" applyNumberFormat="1" applyFont="1" applyFill="1" applyBorder="1" applyAlignment="1" applyProtection="1">
      <alignment horizontal="right" wrapText="1"/>
    </xf>
    <xf numFmtId="37" fontId="9" fillId="4" borderId="74" xfId="0" applyNumberFormat="1" applyFont="1" applyFill="1" applyBorder="1" applyAlignment="1" applyProtection="1">
      <alignment horizontal="right" wrapText="1"/>
    </xf>
    <xf numFmtId="40" fontId="10" fillId="4" borderId="41" xfId="0" applyNumberFormat="1" applyFont="1" applyFill="1" applyBorder="1" applyAlignment="1" applyProtection="1">
      <alignment horizontal="right" wrapText="1"/>
    </xf>
    <xf numFmtId="165" fontId="15" fillId="0" borderId="0" xfId="1" applyNumberFormat="1" applyFont="1" applyBorder="1" applyProtection="1"/>
    <xf numFmtId="165" fontId="10" fillId="0" borderId="5" xfId="1" applyNumberFormat="1" applyFont="1" applyFill="1" applyBorder="1" applyAlignment="1" applyProtection="1">
      <alignment horizontal="center" vertical="center"/>
    </xf>
    <xf numFmtId="38" fontId="10" fillId="4" borderId="41" xfId="0" applyNumberFormat="1" applyFont="1" applyFill="1" applyBorder="1" applyAlignment="1" applyProtection="1">
      <alignment horizontal="right" wrapText="1"/>
    </xf>
    <xf numFmtId="40" fontId="10" fillId="8" borderId="41" xfId="0" applyNumberFormat="1" applyFont="1" applyFill="1" applyBorder="1" applyAlignment="1" applyProtection="1">
      <alignment horizontal="right" wrapText="1"/>
    </xf>
    <xf numFmtId="9" fontId="10" fillId="8" borderId="41" xfId="16" applyNumberFormat="1" applyFont="1" applyFill="1" applyBorder="1" applyAlignment="1" applyProtection="1">
      <alignment horizontal="right" wrapText="1"/>
    </xf>
    <xf numFmtId="9" fontId="10" fillId="0" borderId="0" xfId="16" applyNumberFormat="1" applyFont="1" applyFill="1" applyBorder="1" applyAlignment="1" applyProtection="1">
      <alignment horizontal="right" wrapText="1"/>
    </xf>
    <xf numFmtId="165" fontId="8" fillId="0" borderId="0" xfId="1" applyNumberFormat="1" applyFont="1" applyBorder="1" applyProtection="1"/>
    <xf numFmtId="9" fontId="15" fillId="4" borderId="41" xfId="16" applyFont="1" applyFill="1" applyBorder="1" applyAlignment="1" applyProtection="1">
      <alignment horizontal="right" wrapText="1"/>
    </xf>
    <xf numFmtId="40" fontId="9" fillId="8" borderId="72" xfId="0" applyNumberFormat="1" applyFont="1" applyFill="1" applyBorder="1" applyAlignment="1" applyProtection="1">
      <alignment horizontal="right" wrapText="1"/>
    </xf>
    <xf numFmtId="40" fontId="9" fillId="8" borderId="73" xfId="0" applyNumberFormat="1" applyFont="1" applyFill="1" applyBorder="1" applyAlignment="1" applyProtection="1">
      <alignment horizontal="right" wrapText="1"/>
    </xf>
    <xf numFmtId="40" fontId="9" fillId="8" borderId="74" xfId="0" applyNumberFormat="1" applyFont="1" applyFill="1" applyBorder="1" applyAlignment="1" applyProtection="1">
      <alignment horizontal="right" wrapText="1"/>
    </xf>
    <xf numFmtId="9" fontId="9" fillId="8" borderId="73" xfId="16" applyFont="1" applyFill="1" applyBorder="1" applyAlignment="1" applyProtection="1">
      <alignment horizontal="right" wrapText="1"/>
    </xf>
    <xf numFmtId="9" fontId="9" fillId="8" borderId="74" xfId="16" applyFont="1" applyFill="1" applyBorder="1" applyAlignment="1" applyProtection="1">
      <alignment horizontal="right" wrapText="1"/>
    </xf>
    <xf numFmtId="0" fontId="27" fillId="0" borderId="0" xfId="0" applyFont="1" applyFill="1" applyBorder="1" applyAlignment="1" applyProtection="1">
      <alignment horizontal="right" vertical="center"/>
    </xf>
    <xf numFmtId="9" fontId="27" fillId="0" borderId="0" xfId="3" applyNumberFormat="1" applyFont="1" applyFill="1" applyBorder="1" applyAlignment="1" applyProtection="1">
      <alignment horizontal="center" vertical="center"/>
    </xf>
    <xf numFmtId="0" fontId="6" fillId="0" borderId="0" xfId="0" applyFont="1" applyBorder="1" applyAlignment="1" applyProtection="1">
      <alignment horizontal="center" vertical="center" wrapText="1"/>
    </xf>
    <xf numFmtId="5" fontId="6" fillId="0" borderId="0" xfId="3" applyNumberFormat="1" applyFont="1" applyFill="1" applyBorder="1" applyAlignment="1" applyProtection="1">
      <alignment horizontal="center" vertical="center"/>
    </xf>
    <xf numFmtId="38" fontId="6" fillId="4" borderId="86" xfId="0" applyNumberFormat="1" applyFont="1" applyFill="1" applyBorder="1" applyAlignment="1" applyProtection="1">
      <alignment horizontal="center" wrapText="1"/>
    </xf>
    <xf numFmtId="9" fontId="9" fillId="0" borderId="0" xfId="16" applyFont="1" applyFill="1" applyBorder="1" applyAlignment="1" applyProtection="1">
      <alignment horizontal="right" wrapText="1"/>
    </xf>
    <xf numFmtId="40" fontId="9" fillId="0" borderId="0" xfId="0" applyNumberFormat="1" applyFont="1" applyFill="1" applyBorder="1" applyAlignment="1" applyProtection="1"/>
    <xf numFmtId="0" fontId="9" fillId="0" borderId="0" xfId="0" applyFont="1" applyFill="1" applyAlignment="1"/>
    <xf numFmtId="0" fontId="9" fillId="0" borderId="0" xfId="0" applyFont="1" applyFill="1" applyBorder="1" applyAlignment="1"/>
    <xf numFmtId="0" fontId="7" fillId="0" borderId="1" xfId="0" applyFont="1" applyBorder="1" applyAlignment="1">
      <alignment horizontal="center"/>
    </xf>
    <xf numFmtId="0" fontId="7" fillId="0" borderId="1" xfId="0" applyFont="1" applyBorder="1" applyAlignment="1">
      <alignment wrapText="1"/>
    </xf>
    <xf numFmtId="0" fontId="21" fillId="6" borderId="1" xfId="0" applyFont="1" applyFill="1" applyBorder="1" applyAlignment="1" applyProtection="1">
      <alignment horizontal="center" wrapText="1"/>
      <protection locked="0"/>
    </xf>
    <xf numFmtId="0" fontId="7" fillId="0" borderId="1" xfId="0" applyFont="1" applyFill="1" applyBorder="1" applyAlignment="1">
      <alignment horizontal="center" wrapText="1"/>
    </xf>
    <xf numFmtId="0" fontId="7" fillId="0" borderId="1" xfId="14" applyFont="1" applyBorder="1" applyAlignment="1" applyProtection="1">
      <alignment wrapText="1"/>
      <protection locked="0"/>
    </xf>
    <xf numFmtId="0" fontId="7" fillId="0" borderId="87" xfId="0" applyFont="1" applyBorder="1" applyAlignment="1"/>
    <xf numFmtId="0" fontId="7" fillId="0" borderId="7" xfId="0" applyFont="1" applyBorder="1" applyAlignment="1"/>
    <xf numFmtId="0" fontId="3" fillId="0" borderId="1" xfId="0" applyFont="1" applyFill="1" applyBorder="1" applyAlignment="1">
      <alignment horizontal="center" wrapText="1"/>
    </xf>
    <xf numFmtId="0" fontId="3" fillId="0" borderId="1" xfId="0" applyFont="1" applyBorder="1" applyAlignment="1">
      <alignment horizontal="center"/>
    </xf>
    <xf numFmtId="0" fontId="7" fillId="0" borderId="1" xfId="14" applyFont="1" applyBorder="1" applyAlignment="1">
      <alignment wrapText="1"/>
    </xf>
    <xf numFmtId="0" fontId="3" fillId="6" borderId="1" xfId="0" applyFont="1" applyFill="1" applyBorder="1" applyAlignment="1">
      <alignment horizontal="center" vertical="center" wrapText="1"/>
    </xf>
    <xf numFmtId="0" fontId="3" fillId="0" borderId="1"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top"/>
    </xf>
    <xf numFmtId="0" fontId="7" fillId="0" borderId="1" xfId="0" applyFont="1" applyBorder="1" applyAlignment="1">
      <alignment vertical="top" wrapText="1"/>
    </xf>
    <xf numFmtId="0" fontId="3" fillId="6" borderId="1" xfId="0" applyFont="1" applyFill="1" applyBorder="1" applyAlignment="1">
      <alignment horizontal="center" vertical="top" wrapText="1"/>
    </xf>
    <xf numFmtId="0" fontId="7" fillId="0" borderId="1" xfId="0" applyFont="1" applyFill="1" applyBorder="1" applyAlignment="1">
      <alignment horizontal="center" vertical="center" wrapText="1"/>
    </xf>
    <xf numFmtId="0" fontId="7" fillId="0" borderId="21" xfId="0" applyFont="1" applyBorder="1" applyAlignment="1" applyProtection="1">
      <alignment horizontal="left" wrapText="1" indent="1"/>
      <protection locked="0"/>
    </xf>
    <xf numFmtId="0" fontId="7" fillId="0" borderId="22" xfId="0" applyFont="1" applyBorder="1" applyAlignment="1" applyProtection="1">
      <alignment horizontal="left" wrapText="1" indent="1"/>
      <protection locked="0"/>
    </xf>
    <xf numFmtId="0" fontId="7" fillId="0" borderId="31" xfId="0" applyFont="1" applyBorder="1" applyAlignment="1" applyProtection="1">
      <alignment horizontal="left" wrapText="1" indent="1"/>
      <protection locked="0"/>
    </xf>
    <xf numFmtId="0" fontId="3" fillId="0" borderId="1" xfId="0" applyFont="1" applyBorder="1" applyAlignment="1" applyProtection="1">
      <alignment horizontal="center" vertical="center" wrapText="1"/>
    </xf>
    <xf numFmtId="0" fontId="3" fillId="4" borderId="54" xfId="0" applyFont="1" applyFill="1" applyBorder="1" applyAlignment="1" applyProtection="1">
      <alignment horizontal="right" wrapText="1"/>
    </xf>
    <xf numFmtId="37" fontId="26" fillId="4" borderId="72" xfId="0" applyNumberFormat="1" applyFont="1" applyFill="1" applyBorder="1" applyAlignment="1" applyProtection="1">
      <alignment horizontal="right" wrapText="1"/>
    </xf>
    <xf numFmtId="37" fontId="26" fillId="4" borderId="73" xfId="0" applyNumberFormat="1" applyFont="1" applyFill="1" applyBorder="1" applyAlignment="1" applyProtection="1">
      <alignment horizontal="right" wrapText="1"/>
    </xf>
    <xf numFmtId="37" fontId="26" fillId="4" borderId="74" xfId="0" applyNumberFormat="1" applyFont="1" applyFill="1" applyBorder="1" applyAlignment="1" applyProtection="1">
      <alignment horizontal="right" wrapText="1"/>
    </xf>
    <xf numFmtId="0" fontId="26" fillId="0" borderId="0" xfId="0" applyFont="1" applyBorder="1" applyAlignment="1" applyProtection="1"/>
    <xf numFmtId="37" fontId="8" fillId="4" borderId="41" xfId="0" applyNumberFormat="1" applyFont="1" applyFill="1" applyBorder="1" applyAlignment="1" applyProtection="1">
      <alignment horizontal="right" wrapText="1"/>
    </xf>
    <xf numFmtId="37" fontId="3" fillId="4" borderId="72" xfId="0" applyNumberFormat="1" applyFont="1" applyFill="1" applyBorder="1" applyAlignment="1" applyProtection="1">
      <alignment horizontal="right" wrapText="1"/>
    </xf>
    <xf numFmtId="37" fontId="3" fillId="4" borderId="73" xfId="0" applyNumberFormat="1" applyFont="1" applyFill="1" applyBorder="1" applyAlignment="1" applyProtection="1">
      <alignment horizontal="right" wrapText="1"/>
    </xf>
    <xf numFmtId="37" fontId="3" fillId="4" borderId="74" xfId="0" applyNumberFormat="1" applyFont="1" applyFill="1" applyBorder="1" applyAlignment="1" applyProtection="1">
      <alignment horizontal="right" wrapText="1"/>
    </xf>
    <xf numFmtId="37" fontId="7" fillId="4" borderId="72" xfId="0" applyNumberFormat="1" applyFont="1" applyFill="1" applyBorder="1" applyAlignment="1" applyProtection="1">
      <alignment horizontal="right" wrapText="1"/>
    </xf>
    <xf numFmtId="37" fontId="7" fillId="4" borderId="73" xfId="0" applyNumberFormat="1" applyFont="1" applyFill="1" applyBorder="1" applyAlignment="1" applyProtection="1">
      <alignment horizontal="right" wrapText="1"/>
    </xf>
    <xf numFmtId="37" fontId="7" fillId="4" borderId="74" xfId="0" applyNumberFormat="1" applyFont="1" applyFill="1" applyBorder="1" applyAlignment="1" applyProtection="1">
      <alignment horizontal="right" wrapText="1"/>
    </xf>
    <xf numFmtId="40" fontId="7" fillId="0" borderId="0" xfId="0" applyNumberFormat="1" applyFont="1" applyBorder="1" applyAlignment="1" applyProtection="1"/>
    <xf numFmtId="38" fontId="8" fillId="4" borderId="41" xfId="0" applyNumberFormat="1" applyFont="1" applyFill="1" applyBorder="1" applyAlignment="1" applyProtection="1">
      <alignment horizontal="right" wrapText="1"/>
    </xf>
    <xf numFmtId="165" fontId="16" fillId="0" borderId="0" xfId="1" applyNumberFormat="1" applyFont="1" applyBorder="1" applyProtection="1"/>
    <xf numFmtId="0" fontId="7" fillId="0" borderId="49" xfId="0" applyFont="1" applyBorder="1" applyAlignment="1" applyProtection="1">
      <alignment horizontal="right" vertical="center" wrapText="1"/>
    </xf>
    <xf numFmtId="5" fontId="3" fillId="0" borderId="50" xfId="3" applyNumberFormat="1" applyFont="1" applyFill="1" applyBorder="1" applyAlignment="1" applyProtection="1">
      <alignment horizontal="center" vertical="center"/>
    </xf>
    <xf numFmtId="5" fontId="3" fillId="0" borderId="51" xfId="3" applyNumberFormat="1" applyFont="1" applyFill="1" applyBorder="1" applyAlignment="1" applyProtection="1">
      <alignment horizontal="center" vertical="center"/>
    </xf>
    <xf numFmtId="165" fontId="8" fillId="0" borderId="5" xfId="1" applyNumberFormat="1" applyFont="1" applyFill="1" applyBorder="1" applyAlignment="1" applyProtection="1">
      <alignment horizontal="center" vertical="center"/>
    </xf>
    <xf numFmtId="0" fontId="7" fillId="4" borderId="54" xfId="0" applyFont="1" applyFill="1" applyBorder="1" applyAlignment="1" applyProtection="1">
      <alignment horizontal="right" wrapText="1"/>
    </xf>
    <xf numFmtId="38" fontId="3" fillId="4" borderId="75" xfId="0" applyNumberFormat="1" applyFont="1" applyFill="1" applyBorder="1" applyAlignment="1" applyProtection="1">
      <alignment horizontal="right" wrapText="1"/>
    </xf>
    <xf numFmtId="38" fontId="3" fillId="4" borderId="76" xfId="0" applyNumberFormat="1" applyFont="1" applyFill="1" applyBorder="1" applyAlignment="1" applyProtection="1">
      <alignment horizontal="right" wrapText="1"/>
    </xf>
    <xf numFmtId="38" fontId="3" fillId="4" borderId="77" xfId="0" applyNumberFormat="1" applyFont="1" applyFill="1" applyBorder="1" applyAlignment="1" applyProtection="1">
      <alignment horizontal="right" wrapText="1"/>
    </xf>
    <xf numFmtId="40" fontId="3" fillId="4" borderId="72" xfId="0" applyNumberFormat="1" applyFont="1" applyFill="1" applyBorder="1" applyAlignment="1" applyProtection="1">
      <alignment horizontal="right" wrapText="1"/>
    </xf>
    <xf numFmtId="40" fontId="3" fillId="4" borderId="73" xfId="0" applyNumberFormat="1" applyFont="1" applyFill="1" applyBorder="1" applyAlignment="1" applyProtection="1">
      <alignment horizontal="right" wrapText="1"/>
    </xf>
    <xf numFmtId="40" fontId="3" fillId="4" borderId="74" xfId="0" applyNumberFormat="1" applyFont="1" applyFill="1" applyBorder="1" applyAlignment="1" applyProtection="1">
      <alignment horizontal="right" wrapText="1"/>
    </xf>
    <xf numFmtId="0" fontId="3" fillId="8" borderId="54" xfId="0" applyFont="1" applyFill="1" applyBorder="1" applyAlignment="1" applyProtection="1">
      <alignment horizontal="right" wrapText="1"/>
    </xf>
    <xf numFmtId="40" fontId="7" fillId="8" borderId="72" xfId="0" applyNumberFormat="1" applyFont="1" applyFill="1" applyBorder="1" applyAlignment="1" applyProtection="1">
      <alignment horizontal="right" wrapText="1"/>
    </xf>
    <xf numFmtId="40" fontId="7" fillId="8" borderId="73" xfId="0" applyNumberFormat="1" applyFont="1" applyFill="1" applyBorder="1" applyAlignment="1" applyProtection="1">
      <alignment horizontal="right" wrapText="1"/>
    </xf>
    <xf numFmtId="40" fontId="8" fillId="8" borderId="41" xfId="0" applyNumberFormat="1" applyFont="1" applyFill="1" applyBorder="1" applyAlignment="1" applyProtection="1">
      <alignment horizontal="right" wrapText="1"/>
    </xf>
    <xf numFmtId="9" fontId="7" fillId="8" borderId="73" xfId="16" applyFont="1" applyFill="1" applyBorder="1" applyAlignment="1" applyProtection="1">
      <alignment horizontal="right" wrapText="1"/>
    </xf>
    <xf numFmtId="9" fontId="7" fillId="8" borderId="74" xfId="16" applyFont="1" applyFill="1" applyBorder="1" applyAlignment="1" applyProtection="1">
      <alignment horizontal="right" wrapText="1"/>
    </xf>
    <xf numFmtId="9" fontId="8" fillId="8" borderId="41" xfId="16" applyNumberFormat="1" applyFont="1" applyFill="1" applyBorder="1" applyAlignment="1" applyProtection="1">
      <alignment horizontal="right" wrapText="1"/>
    </xf>
    <xf numFmtId="0" fontId="3" fillId="4" borderId="54" xfId="0" applyFont="1" applyFill="1" applyBorder="1" applyAlignment="1" applyProtection="1">
      <alignment horizontal="center" wrapText="1"/>
    </xf>
    <xf numFmtId="0" fontId="3" fillId="0" borderId="49" xfId="0" applyFont="1" applyBorder="1" applyAlignment="1" applyProtection="1">
      <alignment horizontal="center" vertical="center" wrapText="1"/>
    </xf>
    <xf numFmtId="0" fontId="3" fillId="8" borderId="54" xfId="0" applyFont="1" applyFill="1" applyBorder="1" applyAlignment="1" applyProtection="1">
      <alignment horizontal="center" wrapText="1"/>
    </xf>
    <xf numFmtId="0" fontId="3" fillId="4" borderId="88" xfId="0" applyFont="1" applyFill="1" applyBorder="1" applyAlignment="1" applyProtection="1">
      <alignment horizontal="right" wrapText="1"/>
    </xf>
    <xf numFmtId="0" fontId="3" fillId="4" borderId="89" xfId="0" applyFont="1" applyFill="1" applyBorder="1" applyAlignment="1" applyProtection="1">
      <alignment horizontal="right" wrapText="1"/>
    </xf>
    <xf numFmtId="0" fontId="3" fillId="4" borderId="18" xfId="0" applyFont="1" applyFill="1" applyBorder="1" applyAlignment="1" applyProtection="1">
      <alignment horizontal="right" wrapText="1"/>
    </xf>
    <xf numFmtId="0" fontId="3" fillId="4" borderId="15" xfId="0" applyFont="1" applyFill="1" applyBorder="1" applyAlignment="1" applyProtection="1">
      <alignment horizontal="right" wrapText="1"/>
    </xf>
    <xf numFmtId="0" fontId="7" fillId="0" borderId="90" xfId="0" applyFont="1" applyBorder="1" applyAlignment="1" applyProtection="1">
      <alignment horizontal="left" wrapText="1" indent="1"/>
    </xf>
    <xf numFmtId="0" fontId="7" fillId="0" borderId="91" xfId="0" applyFont="1" applyBorder="1" applyAlignment="1" applyProtection="1">
      <alignment horizontal="left" wrapText="1" indent="1"/>
    </xf>
    <xf numFmtId="0" fontId="6" fillId="4" borderId="7" xfId="0" applyFont="1" applyFill="1" applyBorder="1" applyAlignment="1" applyProtection="1">
      <alignment horizontal="right" vertical="center" wrapText="1"/>
    </xf>
    <xf numFmtId="0" fontId="6" fillId="7" borderId="7" xfId="0" applyFont="1" applyFill="1" applyBorder="1" applyAlignment="1" applyProtection="1">
      <alignment horizontal="right" wrapText="1"/>
    </xf>
    <xf numFmtId="0" fontId="6" fillId="7" borderId="88" xfId="0" applyFont="1" applyFill="1" applyBorder="1" applyAlignment="1" applyProtection="1">
      <alignment horizontal="right" wrapText="1"/>
    </xf>
    <xf numFmtId="0" fontId="7" fillId="0" borderId="92" xfId="0" applyFont="1" applyBorder="1" applyAlignment="1" applyProtection="1">
      <alignment horizontal="left" wrapText="1" indent="1"/>
    </xf>
    <xf numFmtId="5" fontId="7" fillId="0" borderId="20" xfId="3" applyNumberFormat="1" applyFont="1" applyFill="1" applyBorder="1" applyAlignment="1" applyProtection="1">
      <alignment horizontal="left" indent="1"/>
    </xf>
    <xf numFmtId="0" fontId="3" fillId="4" borderId="93" xfId="0" applyFont="1" applyFill="1" applyBorder="1" applyAlignment="1" applyProtection="1">
      <alignment horizontal="right" wrapText="1"/>
    </xf>
    <xf numFmtId="5" fontId="6" fillId="0" borderId="46" xfId="3" applyNumberFormat="1" applyFont="1" applyFill="1" applyBorder="1" applyAlignment="1" applyProtection="1">
      <alignment horizontal="center" vertical="center"/>
    </xf>
    <xf numFmtId="38" fontId="7" fillId="0" borderId="94" xfId="3" applyNumberFormat="1" applyFont="1" applyFill="1" applyBorder="1" applyAlignment="1" applyProtection="1"/>
    <xf numFmtId="5" fontId="6" fillId="0" borderId="95" xfId="3" applyNumberFormat="1" applyFont="1" applyFill="1" applyBorder="1" applyAlignment="1" applyProtection="1">
      <alignment horizontal="center" vertical="center"/>
    </xf>
    <xf numFmtId="38" fontId="3" fillId="4" borderId="96" xfId="3" applyNumberFormat="1" applyFont="1" applyFill="1" applyBorder="1" applyAlignment="1" applyProtection="1"/>
    <xf numFmtId="5" fontId="3" fillId="0" borderId="99" xfId="3" applyNumberFormat="1" applyFont="1" applyFill="1" applyBorder="1" applyAlignment="1" applyProtection="1">
      <alignment horizontal="center" vertical="center"/>
    </xf>
    <xf numFmtId="0" fontId="7" fillId="0" borderId="100" xfId="0" applyFont="1" applyBorder="1" applyAlignment="1" applyProtection="1">
      <alignment horizontal="left" wrapText="1"/>
      <protection locked="0"/>
    </xf>
    <xf numFmtId="0" fontId="7" fillId="0" borderId="101" xfId="0" applyFont="1" applyBorder="1" applyAlignment="1" applyProtection="1">
      <alignment horizontal="left" wrapText="1"/>
      <protection locked="0"/>
    </xf>
    <xf numFmtId="0" fontId="7" fillId="0" borderId="100" xfId="0" applyFont="1" applyBorder="1" applyAlignment="1" applyProtection="1">
      <alignment horizontal="left" wrapText="1" indent="1"/>
      <protection locked="0"/>
    </xf>
    <xf numFmtId="0" fontId="4" fillId="0" borderId="0" xfId="0" applyFont="1" applyFill="1" applyBorder="1" applyAlignment="1" applyProtection="1">
      <alignment horizontal="left" vertical="center"/>
      <protection locked="0"/>
    </xf>
    <xf numFmtId="38" fontId="6" fillId="3" borderId="103" xfId="3" applyNumberFormat="1" applyFont="1" applyFill="1" applyBorder="1" applyAlignment="1" applyProtection="1">
      <alignment vertical="center"/>
    </xf>
    <xf numFmtId="38" fontId="11" fillId="3" borderId="104" xfId="3" applyNumberFormat="1" applyFont="1" applyFill="1" applyBorder="1" applyAlignment="1" applyProtection="1">
      <alignment horizontal="center" vertical="center"/>
    </xf>
    <xf numFmtId="0" fontId="9" fillId="0" borderId="0" xfId="0" applyFont="1" applyFill="1" applyAlignment="1" applyProtection="1">
      <alignment vertical="center"/>
    </xf>
    <xf numFmtId="38" fontId="6" fillId="3" borderId="103" xfId="3" applyNumberFormat="1" applyFont="1" applyFill="1" applyBorder="1" applyAlignment="1" applyProtection="1">
      <alignment horizontal="center" vertical="center"/>
    </xf>
    <xf numFmtId="0" fontId="9" fillId="0" borderId="0" xfId="0" applyFont="1" applyFill="1" applyBorder="1" applyAlignment="1" applyProtection="1">
      <alignment vertical="center"/>
    </xf>
    <xf numFmtId="0" fontId="3" fillId="0" borderId="0" xfId="0" applyFont="1" applyBorder="1" applyAlignment="1" applyProtection="1">
      <alignment wrapText="1"/>
    </xf>
    <xf numFmtId="0" fontId="7" fillId="0" borderId="105" xfId="0" applyFont="1" applyBorder="1" applyAlignment="1" applyProtection="1">
      <alignment horizontal="left" wrapText="1"/>
      <protection locked="0"/>
    </xf>
    <xf numFmtId="0" fontId="7" fillId="0" borderId="27" xfId="0" applyFont="1" applyBorder="1" applyAlignment="1" applyProtection="1">
      <alignment horizontal="left" wrapText="1" indent="1"/>
      <protection locked="0"/>
    </xf>
    <xf numFmtId="0" fontId="7" fillId="0" borderId="28" xfId="0" applyFont="1" applyBorder="1" applyAlignment="1" applyProtection="1">
      <alignment horizontal="left" wrapText="1" indent="1"/>
      <protection locked="0"/>
    </xf>
    <xf numFmtId="0" fontId="7" fillId="0" borderId="106" xfId="0" applyFont="1" applyBorder="1" applyAlignment="1" applyProtection="1">
      <alignment horizontal="left" wrapText="1" indent="1"/>
      <protection locked="0"/>
    </xf>
    <xf numFmtId="0" fontId="7" fillId="0" borderId="64" xfId="0" applyFont="1" applyFill="1" applyBorder="1" applyAlignment="1" applyProtection="1">
      <alignment horizontal="center" wrapText="1"/>
    </xf>
    <xf numFmtId="0" fontId="7" fillId="0" borderId="107" xfId="0" applyFont="1" applyFill="1" applyBorder="1" applyAlignment="1" applyProtection="1">
      <alignment horizontal="center" wrapText="1"/>
    </xf>
    <xf numFmtId="37" fontId="23" fillId="0" borderId="0" xfId="10" applyNumberFormat="1" applyFont="1" applyAlignment="1" applyProtection="1"/>
    <xf numFmtId="0" fontId="7" fillId="0" borderId="0" xfId="15" applyFont="1" applyAlignment="1" applyProtection="1">
      <alignment wrapText="1"/>
    </xf>
    <xf numFmtId="0" fontId="22" fillId="0" borderId="108" xfId="10" applyFont="1" applyBorder="1" applyAlignment="1" applyProtection="1">
      <alignment vertical="center"/>
    </xf>
    <xf numFmtId="0" fontId="22" fillId="0" borderId="109" xfId="10" applyFont="1" applyBorder="1" applyAlignment="1" applyProtection="1">
      <alignment horizontal="right"/>
    </xf>
    <xf numFmtId="0" fontId="22" fillId="0" borderId="110" xfId="10" applyFont="1" applyBorder="1" applyAlignment="1" applyProtection="1">
      <alignment vertical="center"/>
    </xf>
    <xf numFmtId="0" fontId="22" fillId="0" borderId="111" xfId="10" applyFont="1" applyBorder="1" applyAlignment="1" applyProtection="1">
      <alignment horizontal="right"/>
    </xf>
    <xf numFmtId="37" fontId="22" fillId="0" borderId="0" xfId="10" applyNumberFormat="1" applyFont="1" applyAlignment="1" applyProtection="1"/>
    <xf numFmtId="0" fontId="16" fillId="3" borderId="113" xfId="0" applyFont="1" applyFill="1" applyBorder="1" applyAlignment="1" applyProtection="1">
      <alignment vertical="top" wrapText="1"/>
    </xf>
    <xf numFmtId="0" fontId="16" fillId="3" borderId="114" xfId="0" applyFont="1" applyFill="1" applyBorder="1" applyAlignment="1" applyProtection="1">
      <alignment vertical="top" wrapText="1"/>
    </xf>
    <xf numFmtId="0" fontId="6" fillId="9" borderId="110" xfId="0" applyFont="1" applyFill="1" applyBorder="1" applyAlignment="1" applyProtection="1">
      <alignment horizontal="center" vertical="top" wrapText="1"/>
    </xf>
    <xf numFmtId="0" fontId="16" fillId="9" borderId="114" xfId="0" applyFont="1" applyFill="1" applyBorder="1" applyAlignment="1" applyProtection="1">
      <alignment vertical="top" wrapText="1"/>
    </xf>
    <xf numFmtId="0" fontId="16" fillId="9" borderId="116" xfId="0" applyFont="1" applyFill="1" applyBorder="1" applyAlignment="1" applyProtection="1">
      <alignment vertical="top" wrapText="1"/>
    </xf>
    <xf numFmtId="0" fontId="7" fillId="3" borderId="110" xfId="0" applyFont="1" applyFill="1" applyBorder="1" applyAlignment="1" applyProtection="1">
      <alignment horizontal="center" vertical="top" wrapText="1"/>
    </xf>
    <xf numFmtId="0" fontId="16" fillId="3" borderId="114" xfId="0" applyNumberFormat="1" applyFont="1" applyFill="1" applyBorder="1" applyAlignment="1" applyProtection="1">
      <alignment vertical="top" wrapText="1"/>
    </xf>
    <xf numFmtId="0" fontId="7" fillId="3" borderId="114" xfId="0" applyFont="1" applyFill="1" applyBorder="1" applyAlignment="1" applyProtection="1">
      <alignment vertical="top" wrapText="1"/>
    </xf>
    <xf numFmtId="0" fontId="3" fillId="9" borderId="110" xfId="10" applyFont="1" applyFill="1" applyBorder="1" applyAlignment="1" applyProtection="1">
      <alignment horizontal="center" vertical="top" wrapText="1"/>
    </xf>
    <xf numFmtId="0" fontId="7" fillId="3" borderId="110" xfId="10" applyFont="1" applyFill="1" applyBorder="1" applyAlignment="1" applyProtection="1">
      <alignment horizontal="center" vertical="top" wrapText="1"/>
    </xf>
    <xf numFmtId="0" fontId="3" fillId="9" borderId="115" xfId="10" applyFont="1" applyFill="1" applyBorder="1" applyAlignment="1" applyProtection="1">
      <alignment horizontal="center" vertical="top" wrapText="1"/>
    </xf>
    <xf numFmtId="0" fontId="7" fillId="3" borderId="108" xfId="10" applyFont="1" applyFill="1" applyBorder="1" applyAlignment="1" applyProtection="1">
      <alignment horizontal="center" vertical="top" wrapText="1"/>
    </xf>
    <xf numFmtId="0" fontId="7" fillId="3" borderId="115" xfId="10" applyFont="1" applyFill="1" applyBorder="1" applyAlignment="1" applyProtection="1">
      <alignment horizontal="center" vertical="top" wrapText="1"/>
    </xf>
    <xf numFmtId="0" fontId="16" fillId="3" borderId="117" xfId="0" applyFont="1" applyFill="1" applyBorder="1" applyAlignment="1" applyProtection="1">
      <alignment vertical="top" wrapText="1"/>
    </xf>
    <xf numFmtId="0" fontId="3" fillId="3" borderId="110" xfId="10" applyFont="1" applyFill="1" applyBorder="1" applyAlignment="1" applyProtection="1">
      <alignment horizontal="center" vertical="top" wrapText="1"/>
    </xf>
    <xf numFmtId="0" fontId="7" fillId="0" borderId="91" xfId="0" applyFont="1" applyBorder="1" applyAlignment="1" applyProtection="1">
      <alignment horizontal="left" wrapText="1" indent="1"/>
      <protection locked="0"/>
    </xf>
    <xf numFmtId="0" fontId="7" fillId="0" borderId="0" xfId="0" applyFont="1"/>
    <xf numFmtId="0" fontId="7" fillId="0" borderId="0" xfId="0" applyFont="1" applyAlignment="1">
      <alignment horizontal="left" indent="4"/>
    </xf>
    <xf numFmtId="0" fontId="29" fillId="0" borderId="0" xfId="0" applyFont="1" applyAlignment="1"/>
    <xf numFmtId="0" fontId="8" fillId="0" borderId="118" xfId="0" applyFont="1" applyBorder="1"/>
    <xf numFmtId="0" fontId="8" fillId="0" borderId="119" xfId="0" applyFont="1" applyBorder="1"/>
    <xf numFmtId="0" fontId="8" fillId="0" borderId="120" xfId="0" applyFont="1" applyBorder="1"/>
    <xf numFmtId="0" fontId="29" fillId="0" borderId="0" xfId="0" applyFont="1"/>
    <xf numFmtId="0" fontId="30" fillId="3" borderId="121" xfId="0" applyFont="1" applyFill="1" applyBorder="1" applyAlignment="1">
      <alignment wrapText="1"/>
    </xf>
    <xf numFmtId="0" fontId="30" fillId="3" borderId="122" xfId="0" applyFont="1" applyFill="1" applyBorder="1" applyAlignment="1">
      <alignment wrapText="1"/>
    </xf>
    <xf numFmtId="0" fontId="30" fillId="3" borderId="122" xfId="0" applyFont="1" applyFill="1" applyBorder="1" applyAlignment="1">
      <alignment horizontal="center" wrapText="1"/>
    </xf>
    <xf numFmtId="0" fontId="30" fillId="0" borderId="0" xfId="0" applyFont="1"/>
    <xf numFmtId="0" fontId="29" fillId="0" borderId="121" xfId="0" applyFont="1" applyBorder="1" applyAlignment="1">
      <alignment vertical="center"/>
    </xf>
    <xf numFmtId="0" fontId="29" fillId="0" borderId="122" xfId="0" applyFont="1" applyBorder="1" applyAlignment="1">
      <alignment vertical="center"/>
    </xf>
    <xf numFmtId="0" fontId="29" fillId="0" borderId="122" xfId="0" applyFont="1" applyBorder="1" applyAlignment="1">
      <alignment horizontal="center" vertical="center"/>
    </xf>
    <xf numFmtId="0" fontId="29" fillId="3" borderId="121" xfId="0" applyFont="1" applyFill="1" applyBorder="1" applyAlignment="1">
      <alignment vertical="center" wrapText="1"/>
    </xf>
    <xf numFmtId="0" fontId="30" fillId="3" borderId="122" xfId="0" applyFont="1" applyFill="1" applyBorder="1" applyAlignment="1">
      <alignment vertical="center" wrapText="1"/>
    </xf>
    <xf numFmtId="0" fontId="29" fillId="3" borderId="122" xfId="0" applyFont="1" applyFill="1" applyBorder="1" applyAlignment="1">
      <alignment horizontal="center" vertical="center" wrapText="1"/>
    </xf>
    <xf numFmtId="0" fontId="29" fillId="0" borderId="0" xfId="0" applyFont="1" applyAlignment="1">
      <alignment vertical="center"/>
    </xf>
    <xf numFmtId="5" fontId="6" fillId="0" borderId="139" xfId="3" applyNumberFormat="1" applyFont="1" applyFill="1" applyBorder="1" applyAlignment="1" applyProtection="1">
      <alignment horizontal="center" vertical="center"/>
    </xf>
    <xf numFmtId="0" fontId="3" fillId="11" borderId="37" xfId="0" applyFont="1" applyFill="1" applyBorder="1" applyAlignment="1" applyProtection="1">
      <alignment horizontal="right" vertical="center" wrapText="1"/>
    </xf>
    <xf numFmtId="0" fontId="6" fillId="0" borderId="16" xfId="0" applyFont="1" applyFill="1" applyBorder="1" applyAlignment="1" applyProtection="1">
      <alignment horizontal="center" vertical="center" wrapText="1"/>
    </xf>
    <xf numFmtId="0" fontId="6" fillId="0" borderId="0" xfId="0" applyFont="1" applyFill="1" applyBorder="1" applyAlignment="1" applyProtection="1">
      <alignment horizontal="center" vertical="center" wrapText="1"/>
    </xf>
    <xf numFmtId="0" fontId="3" fillId="0" borderId="0" xfId="0" applyFont="1" applyFill="1" applyBorder="1" applyAlignment="1" applyProtection="1">
      <alignment horizontal="left" wrapText="1"/>
    </xf>
    <xf numFmtId="0" fontId="3" fillId="0" borderId="0" xfId="0" applyFont="1" applyBorder="1" applyAlignment="1" applyProtection="1">
      <alignment horizontal="left" wrapText="1"/>
    </xf>
    <xf numFmtId="0" fontId="6" fillId="0" borderId="0" xfId="0" applyFont="1" applyBorder="1" applyAlignment="1" applyProtection="1">
      <alignment horizontal="left" vertical="center" wrapText="1"/>
    </xf>
    <xf numFmtId="38" fontId="3" fillId="4" borderId="150" xfId="3" applyNumberFormat="1" applyFont="1" applyFill="1" applyBorder="1" applyAlignment="1" applyProtection="1"/>
    <xf numFmtId="0" fontId="6" fillId="0" borderId="110" xfId="0" applyFont="1" applyFill="1" applyBorder="1" applyAlignment="1" applyProtection="1">
      <alignment horizontal="center" vertical="top" wrapText="1"/>
    </xf>
    <xf numFmtId="0" fontId="7" fillId="0" borderId="151" xfId="0" applyFont="1" applyBorder="1" applyAlignment="1" applyProtection="1">
      <alignment horizontal="center" wrapText="1"/>
    </xf>
    <xf numFmtId="0" fontId="7" fillId="0" borderId="151" xfId="0" applyFont="1" applyBorder="1" applyAlignment="1" applyProtection="1">
      <alignment horizontal="left" wrapText="1" indent="1"/>
    </xf>
    <xf numFmtId="0" fontId="7" fillId="0" borderId="152" xfId="0" applyFont="1" applyBorder="1" applyAlignment="1" applyProtection="1">
      <alignment horizontal="left" wrapText="1"/>
      <protection locked="0"/>
    </xf>
    <xf numFmtId="38" fontId="21" fillId="5" borderId="153" xfId="3" applyNumberFormat="1" applyFont="1" applyFill="1" applyBorder="1" applyAlignment="1" applyProtection="1">
      <protection locked="0"/>
    </xf>
    <xf numFmtId="165" fontId="3" fillId="0" borderId="154" xfId="1" applyNumberFormat="1" applyFont="1" applyBorder="1" applyAlignment="1" applyProtection="1"/>
    <xf numFmtId="0" fontId="7" fillId="0" borderId="160" xfId="0" applyFont="1" applyBorder="1" applyAlignment="1" applyProtection="1">
      <alignment horizontal="left" wrapText="1" indent="1"/>
    </xf>
    <xf numFmtId="38" fontId="3" fillId="4" borderId="161" xfId="3" applyNumberFormat="1" applyFont="1" applyFill="1" applyBorder="1" applyAlignment="1" applyProtection="1"/>
    <xf numFmtId="0" fontId="6" fillId="0" borderId="16" xfId="0" applyFont="1" applyBorder="1" applyAlignment="1" applyProtection="1">
      <alignment horizontal="center" vertical="center" wrapText="1"/>
    </xf>
    <xf numFmtId="0" fontId="6" fillId="0" borderId="16" xfId="0" applyFont="1" applyBorder="1" applyAlignment="1" applyProtection="1">
      <alignment horizontal="left" vertical="center" wrapText="1"/>
    </xf>
    <xf numFmtId="5" fontId="6" fillId="0" borderId="159" xfId="3" applyNumberFormat="1" applyFont="1" applyFill="1" applyBorder="1" applyAlignment="1" applyProtection="1">
      <alignment horizontal="center" vertical="center"/>
    </xf>
    <xf numFmtId="165" fontId="6" fillId="0" borderId="48" xfId="1" applyNumberFormat="1" applyFont="1" applyFill="1" applyBorder="1" applyAlignment="1" applyProtection="1">
      <alignment horizontal="center" vertical="center"/>
    </xf>
    <xf numFmtId="0" fontId="3" fillId="0" borderId="162" xfId="0" applyFont="1" applyFill="1" applyBorder="1" applyAlignment="1" applyProtection="1">
      <alignment horizontal="right" wrapText="1"/>
    </xf>
    <xf numFmtId="38" fontId="3" fillId="0" borderId="162" xfId="3" applyNumberFormat="1" applyFont="1" applyFill="1" applyBorder="1" applyAlignment="1" applyProtection="1"/>
    <xf numFmtId="38" fontId="3" fillId="0" borderId="163" xfId="3" applyNumberFormat="1" applyFont="1" applyFill="1" applyBorder="1" applyAlignment="1" applyProtection="1"/>
    <xf numFmtId="0" fontId="3" fillId="0" borderId="162" xfId="0" applyFont="1" applyFill="1" applyBorder="1" applyAlignment="1" applyProtection="1">
      <alignment horizontal="center" wrapText="1"/>
    </xf>
    <xf numFmtId="0" fontId="7" fillId="0" borderId="0" xfId="0" applyFont="1" applyFill="1" applyBorder="1" applyProtection="1"/>
    <xf numFmtId="0" fontId="3" fillId="0" borderId="36" xfId="0" applyFont="1" applyFill="1" applyBorder="1" applyAlignment="1" applyProtection="1">
      <alignment horizontal="center" wrapText="1"/>
    </xf>
    <xf numFmtId="38" fontId="31" fillId="10" borderId="1" xfId="3" applyNumberFormat="1" applyFont="1" applyFill="1" applyBorder="1" applyAlignment="1" applyProtection="1">
      <alignment horizontal="center"/>
      <protection locked="0"/>
    </xf>
    <xf numFmtId="165" fontId="3" fillId="0" borderId="165" xfId="1" applyNumberFormat="1" applyFont="1" applyBorder="1" applyAlignment="1" applyProtection="1"/>
    <xf numFmtId="165" fontId="3" fillId="0" borderId="3" xfId="1" applyNumberFormat="1" applyFont="1" applyBorder="1" applyAlignment="1" applyProtection="1"/>
    <xf numFmtId="165" fontId="3" fillId="0" borderId="166" xfId="1" applyNumberFormat="1" applyFont="1" applyBorder="1" applyAlignment="1" applyProtection="1"/>
    <xf numFmtId="38" fontId="3" fillId="4" borderId="163" xfId="3" applyNumberFormat="1" applyFont="1" applyFill="1" applyBorder="1" applyAlignment="1" applyProtection="1"/>
    <xf numFmtId="0" fontId="3" fillId="0" borderId="36" xfId="0" applyFont="1" applyFill="1" applyBorder="1" applyAlignment="1" applyProtection="1">
      <alignment horizontal="right" wrapText="1"/>
    </xf>
    <xf numFmtId="10" fontId="31" fillId="13" borderId="139" xfId="3" applyNumberFormat="1" applyFont="1" applyFill="1" applyBorder="1" applyAlignment="1" applyProtection="1">
      <protection locked="0"/>
    </xf>
    <xf numFmtId="10" fontId="31" fillId="12" borderId="15" xfId="3" applyNumberFormat="1" applyFont="1" applyFill="1" applyBorder="1" applyAlignment="1" applyProtection="1">
      <protection locked="0"/>
    </xf>
    <xf numFmtId="10" fontId="31" fillId="13" borderId="15" xfId="3" applyNumberFormat="1" applyFont="1" applyFill="1" applyBorder="1" applyAlignment="1" applyProtection="1">
      <protection locked="0"/>
    </xf>
    <xf numFmtId="10" fontId="31" fillId="12" borderId="46" xfId="3" applyNumberFormat="1" applyFont="1" applyFill="1" applyBorder="1" applyAlignment="1" applyProtection="1">
      <protection locked="0"/>
    </xf>
    <xf numFmtId="165" fontId="3" fillId="14" borderId="4" xfId="1" applyNumberFormat="1" applyFont="1" applyFill="1" applyBorder="1" applyAlignment="1" applyProtection="1"/>
    <xf numFmtId="38" fontId="3" fillId="4" borderId="93" xfId="3" applyNumberFormat="1" applyFont="1" applyFill="1" applyBorder="1" applyAlignment="1" applyProtection="1"/>
    <xf numFmtId="38" fontId="3" fillId="4" borderId="172" xfId="3" applyNumberFormat="1" applyFont="1" applyFill="1" applyBorder="1" applyAlignment="1" applyProtection="1"/>
    <xf numFmtId="0" fontId="7" fillId="15" borderId="0" xfId="0" applyFont="1" applyFill="1" applyAlignment="1" applyProtection="1"/>
    <xf numFmtId="0" fontId="3" fillId="11" borderId="145" xfId="0" applyFont="1" applyFill="1" applyBorder="1" applyAlignment="1" applyProtection="1">
      <alignment horizontal="center" vertical="center" wrapText="1"/>
    </xf>
    <xf numFmtId="0" fontId="3" fillId="11" borderId="144" xfId="0" applyFont="1" applyFill="1" applyBorder="1" applyAlignment="1" applyProtection="1">
      <alignment horizontal="right" vertical="center" wrapText="1"/>
    </xf>
    <xf numFmtId="38" fontId="3" fillId="11" borderId="168" xfId="3" applyNumberFormat="1" applyFont="1" applyFill="1" applyBorder="1" applyAlignment="1" applyProtection="1"/>
    <xf numFmtId="38" fontId="3" fillId="11" borderId="174" xfId="3" applyNumberFormat="1" applyFont="1" applyFill="1" applyBorder="1" applyAlignment="1" applyProtection="1"/>
    <xf numFmtId="38" fontId="3" fillId="11" borderId="169" xfId="3" applyNumberFormat="1" applyFont="1" applyFill="1" applyBorder="1" applyAlignment="1" applyProtection="1"/>
    <xf numFmtId="0" fontId="7" fillId="15" borderId="0" xfId="0" applyFont="1" applyFill="1" applyBorder="1" applyProtection="1"/>
    <xf numFmtId="38" fontId="3" fillId="11" borderId="170" xfId="3" applyNumberFormat="1" applyFont="1" applyFill="1" applyBorder="1" applyProtection="1"/>
    <xf numFmtId="0" fontId="7" fillId="15" borderId="0" xfId="0" applyFont="1" applyFill="1" applyProtection="1"/>
    <xf numFmtId="0" fontId="3" fillId="11" borderId="37" xfId="0" applyFont="1" applyFill="1" applyBorder="1" applyAlignment="1" applyProtection="1">
      <alignment horizontal="center" vertical="center" wrapText="1"/>
    </xf>
    <xf numFmtId="0" fontId="3" fillId="11" borderId="156" xfId="0" applyFont="1" applyFill="1" applyBorder="1" applyAlignment="1" applyProtection="1">
      <alignment horizontal="right" vertical="center" wrapText="1"/>
    </xf>
    <xf numFmtId="38" fontId="3" fillId="11" borderId="161" xfId="3" applyNumberFormat="1" applyFont="1" applyFill="1" applyBorder="1" applyProtection="1"/>
    <xf numFmtId="38" fontId="3" fillId="11" borderId="175" xfId="3" applyNumberFormat="1" applyFont="1" applyFill="1" applyBorder="1" applyProtection="1"/>
    <xf numFmtId="38" fontId="3" fillId="11" borderId="173" xfId="3" applyNumberFormat="1" applyFont="1" applyFill="1" applyBorder="1" applyProtection="1"/>
    <xf numFmtId="0" fontId="7" fillId="15" borderId="157" xfId="0" applyFont="1" applyFill="1" applyBorder="1" applyProtection="1"/>
    <xf numFmtId="38" fontId="3" fillId="11" borderId="158" xfId="3" applyNumberFormat="1" applyFont="1" applyFill="1" applyBorder="1" applyProtection="1"/>
    <xf numFmtId="0" fontId="3" fillId="11" borderId="145" xfId="0" applyFont="1" applyFill="1" applyBorder="1" applyAlignment="1" applyProtection="1">
      <alignment horizontal="right" vertical="center" wrapText="1"/>
    </xf>
    <xf numFmtId="0" fontId="3" fillId="11" borderId="37" xfId="0" applyFont="1" applyFill="1" applyBorder="1" applyAlignment="1" applyProtection="1">
      <alignment horizontal="right" wrapText="1"/>
    </xf>
    <xf numFmtId="0" fontId="3" fillId="14" borderId="177" xfId="0" applyFont="1" applyFill="1" applyBorder="1" applyAlignment="1" applyProtection="1">
      <alignment horizontal="right" wrapText="1"/>
    </xf>
    <xf numFmtId="38" fontId="3" fillId="16" borderId="93" xfId="3" applyNumberFormat="1" applyFont="1" applyFill="1" applyBorder="1" applyAlignment="1" applyProtection="1"/>
    <xf numFmtId="38" fontId="3" fillId="16" borderId="172" xfId="3" applyNumberFormat="1" applyFont="1" applyFill="1" applyBorder="1" applyAlignment="1" applyProtection="1"/>
    <xf numFmtId="38" fontId="3" fillId="16" borderId="96" xfId="3" applyNumberFormat="1" applyFont="1" applyFill="1" applyBorder="1" applyAlignment="1" applyProtection="1"/>
    <xf numFmtId="0" fontId="7" fillId="14" borderId="0" xfId="0" applyFont="1" applyFill="1" applyBorder="1" applyAlignment="1" applyProtection="1"/>
    <xf numFmtId="0" fontId="9" fillId="0" borderId="108" xfId="0" applyFont="1" applyFill="1" applyBorder="1" applyAlignment="1" applyProtection="1">
      <alignment horizontal="center" vertical="top" wrapText="1"/>
    </xf>
    <xf numFmtId="0" fontId="9" fillId="0" borderId="0" xfId="0" applyFont="1" applyBorder="1" applyAlignment="1" applyProtection="1">
      <alignment horizontal="center"/>
    </xf>
    <xf numFmtId="0" fontId="6" fillId="0" borderId="179" xfId="0" applyFont="1" applyBorder="1" applyAlignment="1" applyProtection="1">
      <alignment horizontal="center" vertical="center" wrapText="1"/>
    </xf>
    <xf numFmtId="0" fontId="6" fillId="0" borderId="180" xfId="0" applyFont="1" applyBorder="1" applyAlignment="1" applyProtection="1">
      <alignment horizontal="center" vertical="center" wrapText="1"/>
    </xf>
    <xf numFmtId="0" fontId="9" fillId="0" borderId="182" xfId="0" applyFont="1" applyBorder="1" applyProtection="1"/>
    <xf numFmtId="0" fontId="6" fillId="0" borderId="87" xfId="0" applyFont="1" applyBorder="1" applyAlignment="1" applyProtection="1">
      <alignment horizontal="center" vertical="center" wrapText="1"/>
    </xf>
    <xf numFmtId="0" fontId="9" fillId="0" borderId="138" xfId="0" applyFont="1" applyBorder="1" applyAlignment="1" applyProtection="1">
      <alignment wrapText="1"/>
    </xf>
    <xf numFmtId="165" fontId="6" fillId="0" borderId="188" xfId="1" applyNumberFormat="1" applyFont="1" applyFill="1" applyBorder="1" applyAlignment="1" applyProtection="1">
      <alignment horizontal="center" vertical="center" wrapText="1"/>
    </xf>
    <xf numFmtId="0" fontId="3" fillId="0" borderId="0" xfId="0" applyFont="1" applyFill="1" applyBorder="1" applyAlignment="1" applyProtection="1">
      <alignment wrapText="1"/>
    </xf>
    <xf numFmtId="0" fontId="6" fillId="0" borderId="87" xfId="0" applyFont="1" applyFill="1" applyBorder="1" applyAlignment="1" applyProtection="1">
      <alignment horizontal="left" vertical="center" wrapText="1"/>
    </xf>
    <xf numFmtId="0" fontId="9" fillId="0" borderId="138" xfId="0" applyFont="1" applyFill="1" applyBorder="1" applyProtection="1"/>
    <xf numFmtId="0" fontId="7" fillId="0" borderId="87" xfId="0" applyFont="1" applyBorder="1" applyAlignment="1" applyProtection="1">
      <alignment wrapText="1"/>
    </xf>
    <xf numFmtId="0" fontId="6" fillId="0" borderId="87" xfId="0" applyFont="1" applyBorder="1" applyProtection="1"/>
    <xf numFmtId="0" fontId="9" fillId="0" borderId="138" xfId="0" applyFont="1" applyBorder="1" applyProtection="1"/>
    <xf numFmtId="0" fontId="7" fillId="3" borderId="87" xfId="0" applyFont="1" applyFill="1" applyBorder="1" applyAlignment="1" applyProtection="1">
      <alignment wrapText="1"/>
    </xf>
    <xf numFmtId="0" fontId="6" fillId="0" borderId="191" xfId="0" applyFont="1" applyBorder="1" applyProtection="1"/>
    <xf numFmtId="0" fontId="9" fillId="0" borderId="195" xfId="0" applyFont="1" applyBorder="1" applyProtection="1"/>
    <xf numFmtId="0" fontId="9" fillId="0" borderId="0" xfId="0" applyFont="1" applyProtection="1">
      <protection locked="0"/>
    </xf>
    <xf numFmtId="0" fontId="3" fillId="0" borderId="183" xfId="0" applyFont="1" applyBorder="1" applyAlignment="1" applyProtection="1">
      <alignment horizontal="center" vertical="center" wrapText="1"/>
    </xf>
    <xf numFmtId="0" fontId="32" fillId="0" borderId="141" xfId="0" applyFont="1" applyBorder="1" applyAlignment="1" applyProtection="1">
      <alignment horizontal="center" vertical="center" wrapText="1"/>
    </xf>
    <xf numFmtId="0" fontId="7" fillId="0" borderId="142" xfId="0" applyFont="1" applyBorder="1" applyProtection="1"/>
    <xf numFmtId="165" fontId="3" fillId="0" borderId="186" xfId="1" applyNumberFormat="1" applyFont="1" applyFill="1" applyBorder="1" applyAlignment="1" applyProtection="1">
      <alignment horizontal="center" vertical="center"/>
    </xf>
    <xf numFmtId="5" fontId="30" fillId="14" borderId="188" xfId="3" applyNumberFormat="1" applyFont="1" applyFill="1" applyBorder="1" applyAlignment="1" applyProtection="1">
      <alignment horizontal="center" vertical="center" wrapText="1"/>
    </xf>
    <xf numFmtId="5" fontId="3" fillId="14" borderId="188" xfId="3" applyNumberFormat="1" applyFont="1" applyFill="1" applyBorder="1" applyAlignment="1" applyProtection="1">
      <alignment horizontal="left" wrapText="1"/>
      <protection locked="0"/>
    </xf>
    <xf numFmtId="5" fontId="7" fillId="14" borderId="188" xfId="3" applyNumberFormat="1" applyFont="1" applyFill="1" applyBorder="1" applyAlignment="1" applyProtection="1">
      <alignment horizontal="left" wrapText="1"/>
      <protection locked="0"/>
    </xf>
    <xf numFmtId="6" fontId="3" fillId="14" borderId="188" xfId="0" applyNumberFormat="1" applyFont="1" applyFill="1" applyBorder="1" applyAlignment="1" applyProtection="1">
      <alignment horizontal="left" wrapText="1"/>
      <protection locked="0"/>
    </xf>
    <xf numFmtId="6" fontId="7" fillId="14" borderId="188" xfId="0" applyNumberFormat="1" applyFont="1" applyFill="1" applyBorder="1" applyAlignment="1" applyProtection="1">
      <alignment horizontal="left" wrapText="1"/>
      <protection locked="0"/>
    </xf>
    <xf numFmtId="5" fontId="3" fillId="14" borderId="194" xfId="0" applyNumberFormat="1" applyFont="1" applyFill="1" applyBorder="1" applyAlignment="1" applyProtection="1">
      <alignment horizontal="left" wrapText="1"/>
      <protection locked="0"/>
    </xf>
    <xf numFmtId="0" fontId="3" fillId="0" borderId="187" xfId="0" applyFont="1" applyBorder="1" applyAlignment="1" applyProtection="1">
      <alignment horizontal="center" vertical="center" wrapText="1"/>
    </xf>
    <xf numFmtId="0" fontId="7" fillId="0" borderId="189" xfId="0" applyFont="1" applyBorder="1" applyProtection="1"/>
    <xf numFmtId="0" fontId="7" fillId="9" borderId="187" xfId="0" applyFont="1" applyFill="1" applyBorder="1" applyAlignment="1" applyProtection="1">
      <alignment horizontal="center" vertical="center" wrapText="1"/>
    </xf>
    <xf numFmtId="0" fontId="7" fillId="17" borderId="187" xfId="0" applyFont="1" applyFill="1" applyBorder="1" applyAlignment="1" applyProtection="1">
      <alignment horizontal="center" vertical="center" wrapText="1"/>
    </xf>
    <xf numFmtId="0" fontId="7" fillId="17" borderId="187" xfId="0" applyFont="1" applyFill="1" applyBorder="1" applyAlignment="1" applyProtection="1">
      <alignment horizontal="center" vertical="center"/>
    </xf>
    <xf numFmtId="0" fontId="7" fillId="17" borderId="190" xfId="0" applyFont="1" applyFill="1" applyBorder="1" applyAlignment="1" applyProtection="1">
      <alignment horizontal="center" vertical="center"/>
    </xf>
    <xf numFmtId="0" fontId="6" fillId="4" borderId="55" xfId="0" applyFont="1" applyFill="1" applyBorder="1" applyAlignment="1" applyProtection="1">
      <alignment horizontal="right" wrapText="1"/>
    </xf>
    <xf numFmtId="38" fontId="6" fillId="4" borderId="146" xfId="0" applyNumberFormat="1" applyFont="1" applyFill="1" applyBorder="1" applyAlignment="1" applyProtection="1">
      <alignment horizontal="right" wrapText="1"/>
    </xf>
    <xf numFmtId="38" fontId="6" fillId="4" borderId="147" xfId="0" applyNumberFormat="1" applyFont="1" applyFill="1" applyBorder="1" applyAlignment="1" applyProtection="1">
      <alignment horizontal="right" wrapText="1"/>
    </xf>
    <xf numFmtId="38" fontId="6" fillId="4" borderId="199" xfId="0" applyNumberFormat="1" applyFont="1" applyFill="1" applyBorder="1" applyAlignment="1" applyProtection="1">
      <alignment horizontal="right" wrapText="1"/>
    </xf>
    <xf numFmtId="5" fontId="30" fillId="19" borderId="187" xfId="3" applyNumberFormat="1" applyFont="1" applyFill="1" applyBorder="1" applyAlignment="1" applyProtection="1">
      <alignment horizontal="center" vertical="center" wrapText="1"/>
    </xf>
    <xf numFmtId="38" fontId="3" fillId="19" borderId="184" xfId="0" applyNumberFormat="1" applyFont="1" applyFill="1" applyBorder="1" applyAlignment="1" applyProtection="1"/>
    <xf numFmtId="37" fontId="3" fillId="19" borderId="192" xfId="0" applyNumberFormat="1" applyFont="1" applyFill="1" applyBorder="1" applyAlignment="1" applyProtection="1"/>
    <xf numFmtId="5" fontId="30" fillId="0" borderId="1" xfId="3" applyNumberFormat="1" applyFont="1" applyFill="1" applyBorder="1" applyAlignment="1" applyProtection="1">
      <alignment horizontal="center" vertical="center" wrapText="1"/>
    </xf>
    <xf numFmtId="37" fontId="3" fillId="0" borderId="87" xfId="3" applyNumberFormat="1" applyFont="1" applyFill="1" applyBorder="1" applyAlignment="1" applyProtection="1">
      <alignment wrapText="1"/>
    </xf>
    <xf numFmtId="38" fontId="3" fillId="0" borderId="1" xfId="0" applyNumberFormat="1" applyFont="1" applyFill="1" applyBorder="1" applyAlignment="1" applyProtection="1"/>
    <xf numFmtId="38" fontId="7" fillId="0" borderId="1" xfId="0" applyNumberFormat="1" applyFont="1" applyFill="1" applyBorder="1" applyAlignment="1" applyProtection="1">
      <protection locked="0"/>
    </xf>
    <xf numFmtId="38" fontId="3" fillId="0" borderId="193" xfId="0" applyNumberFormat="1" applyFont="1" applyFill="1" applyBorder="1" applyAlignment="1" applyProtection="1"/>
    <xf numFmtId="165" fontId="3" fillId="0" borderId="188" xfId="1" applyNumberFormat="1" applyFont="1" applyFill="1" applyBorder="1" applyAlignment="1" applyProtection="1"/>
    <xf numFmtId="37" fontId="7" fillId="0" borderId="87" xfId="3" applyNumberFormat="1" applyFont="1" applyFill="1" applyBorder="1" applyAlignment="1" applyProtection="1">
      <alignment wrapText="1"/>
      <protection locked="0"/>
    </xf>
    <xf numFmtId="165" fontId="3" fillId="0" borderId="194" xfId="1" applyNumberFormat="1" applyFont="1" applyFill="1" applyBorder="1" applyAlignment="1" applyProtection="1"/>
    <xf numFmtId="37" fontId="3" fillId="19" borderId="184" xfId="3" applyNumberFormat="1" applyFont="1" applyFill="1" applyBorder="1" applyAlignment="1" applyProtection="1"/>
    <xf numFmtId="37" fontId="35" fillId="19" borderId="187" xfId="3" applyNumberFormat="1" applyFont="1" applyFill="1" applyBorder="1" applyAlignment="1" applyProtection="1"/>
    <xf numFmtId="37" fontId="36" fillId="19" borderId="187" xfId="3" applyNumberFormat="1" applyFont="1" applyFill="1" applyBorder="1" applyAlignment="1" applyProtection="1"/>
    <xf numFmtId="37" fontId="34" fillId="19" borderId="187" xfId="3" applyNumberFormat="1" applyFont="1" applyFill="1" applyBorder="1" applyAlignment="1" applyProtection="1"/>
    <xf numFmtId="0" fontId="7" fillId="0" borderId="87" xfId="0" applyFont="1" applyBorder="1" applyAlignment="1" applyProtection="1">
      <alignment wrapText="1"/>
      <protection locked="0"/>
    </xf>
    <xf numFmtId="38" fontId="3" fillId="4" borderId="200" xfId="3" applyNumberFormat="1" applyFont="1" applyFill="1" applyBorder="1" applyAlignment="1" applyProtection="1"/>
    <xf numFmtId="38" fontId="3" fillId="4" borderId="201" xfId="3" applyNumberFormat="1" applyFont="1" applyFill="1" applyBorder="1" applyAlignment="1" applyProtection="1"/>
    <xf numFmtId="38" fontId="3" fillId="4" borderId="202" xfId="3" applyNumberFormat="1" applyFont="1" applyFill="1" applyBorder="1" applyAlignment="1" applyProtection="1"/>
    <xf numFmtId="38" fontId="3" fillId="4" borderId="178" xfId="3" applyNumberFormat="1" applyFont="1" applyFill="1" applyBorder="1" applyAlignment="1" applyProtection="1"/>
    <xf numFmtId="38" fontId="3" fillId="4" borderId="203" xfId="3" applyNumberFormat="1" applyFont="1" applyFill="1" applyBorder="1" applyAlignment="1" applyProtection="1"/>
    <xf numFmtId="0" fontId="37" fillId="0" borderId="0" xfId="0" applyFont="1" applyProtection="1"/>
    <xf numFmtId="40" fontId="7" fillId="8" borderId="74" xfId="0" applyNumberFormat="1" applyFont="1" applyFill="1" applyBorder="1" applyAlignment="1" applyProtection="1">
      <alignment horizontal="right" wrapText="1"/>
    </xf>
    <xf numFmtId="0" fontId="6" fillId="20" borderId="110" xfId="0" applyFont="1" applyFill="1" applyBorder="1" applyAlignment="1" applyProtection="1">
      <alignment horizontal="center" vertical="top" wrapText="1"/>
    </xf>
    <xf numFmtId="0" fontId="1" fillId="0" borderId="0" xfId="0" applyFont="1" applyBorder="1" applyAlignment="1" applyProtection="1"/>
    <xf numFmtId="0" fontId="3" fillId="21" borderId="19" xfId="0" applyFont="1" applyFill="1" applyBorder="1" applyAlignment="1" applyProtection="1">
      <alignment horizontal="center" wrapText="1"/>
    </xf>
    <xf numFmtId="0" fontId="3" fillId="21" borderId="19" xfId="0" applyFont="1" applyFill="1" applyBorder="1" applyAlignment="1" applyProtection="1">
      <alignment horizontal="left" wrapText="1"/>
    </xf>
    <xf numFmtId="0" fontId="3" fillId="21" borderId="0" xfId="0" applyFont="1" applyFill="1" applyBorder="1" applyAlignment="1" applyProtection="1">
      <alignment horizontal="left" wrapText="1"/>
    </xf>
    <xf numFmtId="38" fontId="7" fillId="21" borderId="15" xfId="3" applyNumberFormat="1" applyFont="1" applyFill="1" applyBorder="1" applyAlignment="1" applyProtection="1"/>
    <xf numFmtId="0" fontId="7" fillId="21" borderId="0" xfId="0" applyFont="1" applyFill="1" applyBorder="1" applyAlignment="1" applyProtection="1"/>
    <xf numFmtId="165" fontId="3" fillId="21" borderId="0" xfId="1" applyNumberFormat="1" applyFont="1" applyFill="1" applyBorder="1" applyAlignment="1" applyProtection="1"/>
    <xf numFmtId="0" fontId="7" fillId="21" borderId="20" xfId="0" applyFont="1" applyFill="1" applyBorder="1" applyAlignment="1" applyProtection="1">
      <alignment horizontal="center" wrapText="1"/>
    </xf>
    <xf numFmtId="0" fontId="7" fillId="21" borderId="20" xfId="0" applyFont="1" applyFill="1" applyBorder="1" applyAlignment="1" applyProtection="1">
      <alignment horizontal="left" wrapText="1" indent="1"/>
    </xf>
    <xf numFmtId="0" fontId="7" fillId="21" borderId="101" xfId="0" applyFont="1" applyFill="1" applyBorder="1" applyAlignment="1" applyProtection="1">
      <alignment horizontal="left" wrapText="1"/>
      <protection locked="0"/>
    </xf>
    <xf numFmtId="38" fontId="21" fillId="21" borderId="79" xfId="3" applyNumberFormat="1" applyFont="1" applyFill="1" applyBorder="1" applyAlignment="1" applyProtection="1">
      <protection locked="0"/>
    </xf>
    <xf numFmtId="38" fontId="21" fillId="21" borderId="80" xfId="3" applyNumberFormat="1" applyFont="1" applyFill="1" applyBorder="1" applyAlignment="1" applyProtection="1">
      <protection locked="0"/>
    </xf>
    <xf numFmtId="38" fontId="21" fillId="21" borderId="81" xfId="3" applyNumberFormat="1" applyFont="1" applyFill="1" applyBorder="1" applyAlignment="1" applyProtection="1">
      <protection locked="0"/>
    </xf>
    <xf numFmtId="0" fontId="7" fillId="21" borderId="0" xfId="0" applyFont="1" applyFill="1" applyAlignment="1" applyProtection="1"/>
    <xf numFmtId="165" fontId="3" fillId="21" borderId="12" xfId="1" applyNumberFormat="1" applyFont="1" applyFill="1" applyBorder="1" applyAlignment="1" applyProtection="1"/>
    <xf numFmtId="0" fontId="7" fillId="21" borderId="31" xfId="0" applyFont="1" applyFill="1" applyBorder="1" applyAlignment="1" applyProtection="1">
      <alignment horizontal="center" wrapText="1"/>
    </xf>
    <xf numFmtId="0" fontId="7" fillId="21" borderId="31" xfId="0" applyFont="1" applyFill="1" applyBorder="1" applyAlignment="1" applyProtection="1">
      <alignment horizontal="left" wrapText="1" indent="1"/>
    </xf>
    <xf numFmtId="0" fontId="7" fillId="21" borderId="100" xfId="0" applyFont="1" applyFill="1" applyBorder="1" applyAlignment="1" applyProtection="1">
      <alignment horizontal="left" wrapText="1"/>
      <protection locked="0"/>
    </xf>
    <xf numFmtId="38" fontId="21" fillId="21" borderId="24" xfId="3" applyNumberFormat="1" applyFont="1" applyFill="1" applyBorder="1" applyAlignment="1" applyProtection="1">
      <protection locked="0"/>
    </xf>
    <xf numFmtId="38" fontId="21" fillId="21" borderId="8" xfId="3" applyNumberFormat="1" applyFont="1" applyFill="1" applyBorder="1" applyAlignment="1" applyProtection="1">
      <protection locked="0"/>
    </xf>
    <xf numFmtId="38" fontId="21" fillId="21" borderId="9" xfId="3" applyNumberFormat="1" applyFont="1" applyFill="1" applyBorder="1" applyAlignment="1" applyProtection="1">
      <protection locked="0"/>
    </xf>
    <xf numFmtId="165" fontId="3" fillId="21" borderId="13" xfId="1" applyNumberFormat="1" applyFont="1" applyFill="1" applyBorder="1" applyAlignment="1" applyProtection="1"/>
    <xf numFmtId="0" fontId="3" fillId="22" borderId="55" xfId="0" applyFont="1" applyFill="1" applyBorder="1" applyAlignment="1" applyProtection="1">
      <alignment horizontal="center" wrapText="1"/>
    </xf>
    <xf numFmtId="0" fontId="3" fillId="22" borderId="55" xfId="0" applyFont="1" applyFill="1" applyBorder="1" applyAlignment="1" applyProtection="1">
      <alignment horizontal="right" wrapText="1"/>
    </xf>
    <xf numFmtId="0" fontId="3" fillId="22" borderId="88" xfId="0" applyFont="1" applyFill="1" applyBorder="1" applyAlignment="1" applyProtection="1">
      <alignment horizontal="right" wrapText="1"/>
    </xf>
    <xf numFmtId="38" fontId="3" fillId="22" borderId="93" xfId="3" applyNumberFormat="1" applyFont="1" applyFill="1" applyBorder="1" applyAlignment="1" applyProtection="1"/>
    <xf numFmtId="38" fontId="3" fillId="22" borderId="14" xfId="3" applyNumberFormat="1" applyFont="1" applyFill="1" applyBorder="1" applyAlignment="1" applyProtection="1"/>
    <xf numFmtId="38" fontId="3" fillId="22" borderId="96" xfId="3" applyNumberFormat="1" applyFont="1" applyFill="1" applyBorder="1" applyAlignment="1" applyProtection="1"/>
    <xf numFmtId="0" fontId="3" fillId="21" borderId="0" xfId="0" applyFont="1" applyFill="1" applyAlignment="1" applyProtection="1"/>
    <xf numFmtId="38" fontId="3" fillId="22" borderId="4" xfId="3" applyNumberFormat="1" applyFont="1" applyFill="1" applyBorder="1" applyAlignment="1" applyProtection="1"/>
    <xf numFmtId="38" fontId="3" fillId="22" borderId="172" xfId="3" applyNumberFormat="1" applyFont="1" applyFill="1" applyBorder="1" applyAlignment="1" applyProtection="1"/>
    <xf numFmtId="0" fontId="3" fillId="22" borderId="164" xfId="0" applyFont="1" applyFill="1" applyBorder="1" applyAlignment="1" applyProtection="1">
      <alignment horizontal="center" wrapText="1"/>
    </xf>
    <xf numFmtId="0" fontId="3" fillId="22" borderId="164" xfId="0" applyFont="1" applyFill="1" applyBorder="1" applyAlignment="1" applyProtection="1">
      <alignment horizontal="right" wrapText="1"/>
    </xf>
    <xf numFmtId="0" fontId="3" fillId="22" borderId="0" xfId="0" applyFont="1" applyFill="1" applyBorder="1" applyAlignment="1" applyProtection="1">
      <alignment horizontal="right" wrapText="1"/>
    </xf>
    <xf numFmtId="38" fontId="3" fillId="22" borderId="161" xfId="3" applyNumberFormat="1" applyFont="1" applyFill="1" applyBorder="1" applyAlignment="1" applyProtection="1"/>
    <xf numFmtId="38" fontId="3" fillId="22" borderId="203" xfId="3" applyNumberFormat="1" applyFont="1" applyFill="1" applyBorder="1" applyAlignment="1" applyProtection="1"/>
    <xf numFmtId="38" fontId="3" fillId="22" borderId="97" xfId="3" applyNumberFormat="1" applyFont="1" applyFill="1" applyBorder="1" applyAlignment="1" applyProtection="1"/>
    <xf numFmtId="0" fontId="7" fillId="21" borderId="48" xfId="0" applyFont="1" applyFill="1" applyBorder="1" applyAlignment="1" applyProtection="1"/>
    <xf numFmtId="38" fontId="3" fillId="22" borderId="3" xfId="3" applyNumberFormat="1" applyFont="1" applyFill="1" applyBorder="1" applyAlignment="1" applyProtection="1"/>
    <xf numFmtId="0" fontId="3" fillId="21" borderId="11" xfId="0" applyFont="1" applyFill="1" applyBorder="1" applyAlignment="1" applyProtection="1">
      <alignment horizontal="center" wrapText="1"/>
    </xf>
    <xf numFmtId="0" fontId="3" fillId="21" borderId="11" xfId="0" applyFont="1" applyFill="1" applyBorder="1" applyAlignment="1" applyProtection="1">
      <alignment horizontal="left" wrapText="1"/>
    </xf>
    <xf numFmtId="38" fontId="7" fillId="21" borderId="7" xfId="3" applyNumberFormat="1" applyFont="1" applyFill="1" applyBorder="1" applyAlignment="1" applyProtection="1"/>
    <xf numFmtId="165" fontId="3" fillId="21" borderId="7" xfId="1" applyNumberFormat="1" applyFont="1" applyFill="1" applyBorder="1" applyAlignment="1" applyProtection="1"/>
    <xf numFmtId="0" fontId="7" fillId="21" borderId="30" xfId="0" applyFont="1" applyFill="1" applyBorder="1" applyAlignment="1" applyProtection="1">
      <alignment horizontal="center" wrapText="1"/>
    </xf>
    <xf numFmtId="0" fontId="7" fillId="21" borderId="30" xfId="0" applyFont="1" applyFill="1" applyBorder="1" applyAlignment="1" applyProtection="1">
      <alignment horizontal="left" wrapText="1" indent="1"/>
    </xf>
    <xf numFmtId="0" fontId="7" fillId="21" borderId="27" xfId="0" applyFont="1" applyFill="1" applyBorder="1" applyAlignment="1" applyProtection="1">
      <alignment horizontal="center" wrapText="1"/>
    </xf>
    <xf numFmtId="0" fontId="7" fillId="21" borderId="27" xfId="0" applyFont="1" applyFill="1" applyBorder="1" applyAlignment="1" applyProtection="1">
      <alignment horizontal="left" wrapText="1" indent="1"/>
    </xf>
    <xf numFmtId="0" fontId="7" fillId="21" borderId="27" xfId="0" applyFont="1" applyFill="1" applyBorder="1" applyAlignment="1" applyProtection="1">
      <alignment horizontal="left" wrapText="1" indent="1"/>
      <protection locked="0"/>
    </xf>
    <xf numFmtId="0" fontId="3" fillId="22" borderId="52" xfId="0" applyFont="1" applyFill="1" applyBorder="1" applyAlignment="1" applyProtection="1">
      <alignment horizontal="center" wrapText="1"/>
    </xf>
    <xf numFmtId="0" fontId="3" fillId="22" borderId="52" xfId="0" applyFont="1" applyFill="1" applyBorder="1" applyAlignment="1" applyProtection="1">
      <alignment horizontal="right" wrapText="1"/>
    </xf>
    <xf numFmtId="0" fontId="3" fillId="22" borderId="93" xfId="0" applyFont="1" applyFill="1" applyBorder="1" applyAlignment="1" applyProtection="1">
      <alignment horizontal="right" wrapText="1"/>
    </xf>
    <xf numFmtId="0" fontId="3" fillId="21" borderId="6" xfId="0" applyFont="1" applyFill="1" applyBorder="1" applyAlignment="1" applyProtection="1">
      <alignment horizontal="center" wrapText="1"/>
    </xf>
    <xf numFmtId="0" fontId="3" fillId="21" borderId="6" xfId="0" applyFont="1" applyFill="1" applyBorder="1" applyAlignment="1" applyProtection="1">
      <alignment horizontal="left" wrapText="1"/>
    </xf>
    <xf numFmtId="0" fontId="7" fillId="21" borderId="28" xfId="0" applyFont="1" applyFill="1" applyBorder="1" applyAlignment="1" applyProtection="1">
      <alignment horizontal="center" wrapText="1"/>
    </xf>
    <xf numFmtId="0" fontId="7" fillId="21" borderId="28" xfId="0" applyFont="1" applyFill="1" applyBorder="1" applyAlignment="1" applyProtection="1">
      <alignment horizontal="left" wrapText="1" indent="1"/>
      <protection locked="0"/>
    </xf>
    <xf numFmtId="0" fontId="7" fillId="21" borderId="105" xfId="0" applyFont="1" applyFill="1" applyBorder="1" applyAlignment="1" applyProtection="1">
      <alignment horizontal="left" wrapText="1"/>
      <protection locked="0"/>
    </xf>
    <xf numFmtId="165" fontId="3" fillId="21" borderId="70" xfId="1" applyNumberFormat="1" applyFont="1" applyFill="1" applyBorder="1" applyAlignment="1" applyProtection="1"/>
    <xf numFmtId="0" fontId="3" fillId="22" borderId="29" xfId="0" applyFont="1" applyFill="1" applyBorder="1" applyAlignment="1" applyProtection="1">
      <alignment horizontal="center" wrapText="1"/>
    </xf>
    <xf numFmtId="0" fontId="3" fillId="22" borderId="29" xfId="0" applyFont="1" applyFill="1" applyBorder="1" applyAlignment="1" applyProtection="1">
      <alignment horizontal="right" wrapText="1"/>
    </xf>
    <xf numFmtId="0" fontId="3" fillId="22" borderId="89" xfId="0" applyFont="1" applyFill="1" applyBorder="1" applyAlignment="1" applyProtection="1">
      <alignment horizontal="right" wrapText="1"/>
    </xf>
    <xf numFmtId="38" fontId="3" fillId="22" borderId="178" xfId="3" applyNumberFormat="1" applyFont="1" applyFill="1" applyBorder="1" applyAlignment="1" applyProtection="1"/>
    <xf numFmtId="0" fontId="6" fillId="21" borderId="0" xfId="0" applyFont="1" applyFill="1" applyBorder="1" applyAlignment="1" applyProtection="1">
      <alignment horizontal="left" vertical="center" wrapText="1"/>
    </xf>
    <xf numFmtId="0" fontId="7" fillId="21" borderId="63" xfId="0" applyFont="1" applyFill="1" applyBorder="1" applyAlignment="1" applyProtection="1">
      <alignment horizontal="center" wrapText="1"/>
    </xf>
    <xf numFmtId="0" fontId="7" fillId="21" borderId="90" xfId="0" applyFont="1" applyFill="1" applyBorder="1" applyAlignment="1" applyProtection="1">
      <alignment horizontal="left" wrapText="1" indent="1"/>
    </xf>
    <xf numFmtId="0" fontId="7" fillId="21" borderId="64" xfId="0" applyFont="1" applyFill="1" applyBorder="1" applyAlignment="1" applyProtection="1">
      <alignment horizontal="center" wrapText="1"/>
    </xf>
    <xf numFmtId="0" fontId="7" fillId="21" borderId="91" xfId="0" applyFont="1" applyFill="1" applyBorder="1" applyAlignment="1" applyProtection="1">
      <alignment horizontal="left" wrapText="1" indent="1"/>
    </xf>
    <xf numFmtId="0" fontId="7" fillId="21" borderId="91" xfId="0" applyFont="1" applyFill="1" applyBorder="1" applyAlignment="1" applyProtection="1">
      <alignment horizontal="left" wrapText="1" indent="1"/>
      <protection locked="0"/>
    </xf>
    <xf numFmtId="0" fontId="7" fillId="21" borderId="107" xfId="0" applyFont="1" applyFill="1" applyBorder="1" applyAlignment="1" applyProtection="1">
      <alignment horizontal="center" wrapText="1"/>
    </xf>
    <xf numFmtId="38" fontId="21" fillId="21" borderId="153" xfId="3" applyNumberFormat="1" applyFont="1" applyFill="1" applyBorder="1" applyAlignment="1" applyProtection="1">
      <protection locked="0"/>
    </xf>
    <xf numFmtId="165" fontId="3" fillId="21" borderId="154" xfId="1" applyNumberFormat="1" applyFont="1" applyFill="1" applyBorder="1" applyAlignment="1" applyProtection="1"/>
    <xf numFmtId="0" fontId="3" fillId="22" borderId="37" xfId="0" applyFont="1" applyFill="1" applyBorder="1" applyAlignment="1" applyProtection="1">
      <alignment horizontal="center" wrapText="1"/>
    </xf>
    <xf numFmtId="0" fontId="3" fillId="22" borderId="37" xfId="0" applyFont="1" applyFill="1" applyBorder="1" applyAlignment="1" applyProtection="1">
      <alignment horizontal="right" wrapText="1"/>
    </xf>
    <xf numFmtId="38" fontId="3" fillId="22" borderId="148" xfId="3" applyNumberFormat="1" applyFont="1" applyFill="1" applyBorder="1" applyAlignment="1" applyProtection="1"/>
    <xf numFmtId="38" fontId="3" fillId="22" borderId="98" xfId="3" applyNumberFormat="1" applyFont="1" applyFill="1" applyBorder="1" applyAlignment="1" applyProtection="1"/>
    <xf numFmtId="0" fontId="3" fillId="22" borderId="57" xfId="0" applyFont="1" applyFill="1" applyBorder="1" applyAlignment="1" applyProtection="1">
      <alignment horizontal="center" wrapText="1"/>
    </xf>
    <xf numFmtId="0" fontId="3" fillId="22" borderId="57" xfId="0" applyFont="1" applyFill="1" applyBorder="1" applyAlignment="1" applyProtection="1">
      <alignment horizontal="right" wrapText="1"/>
    </xf>
    <xf numFmtId="0" fontId="3" fillId="22" borderId="18" xfId="0" applyFont="1" applyFill="1" applyBorder="1" applyAlignment="1" applyProtection="1">
      <alignment horizontal="right" wrapText="1"/>
    </xf>
    <xf numFmtId="38" fontId="3" fillId="22" borderId="149" xfId="3" applyNumberFormat="1" applyFont="1" applyFill="1" applyBorder="1" applyAlignment="1" applyProtection="1"/>
    <xf numFmtId="38" fontId="3" fillId="22" borderId="167" xfId="3" applyNumberFormat="1" applyFont="1" applyFill="1" applyBorder="1" applyAlignment="1" applyProtection="1"/>
    <xf numFmtId="38" fontId="3" fillId="22" borderId="155" xfId="3" applyNumberFormat="1" applyFont="1" applyFill="1" applyBorder="1" applyAlignment="1" applyProtection="1"/>
    <xf numFmtId="165" fontId="3" fillId="22" borderId="58" xfId="1" applyNumberFormat="1" applyFont="1" applyFill="1" applyBorder="1" applyAlignment="1" applyProtection="1"/>
    <xf numFmtId="0" fontId="3" fillId="22" borderId="36" xfId="0" applyFont="1" applyFill="1" applyBorder="1" applyAlignment="1" applyProtection="1">
      <alignment horizontal="center" wrapText="1"/>
    </xf>
    <xf numFmtId="0" fontId="3" fillId="22" borderId="36" xfId="0" applyFont="1" applyFill="1" applyBorder="1" applyAlignment="1" applyProtection="1">
      <alignment horizontal="right" wrapText="1"/>
    </xf>
    <xf numFmtId="0" fontId="3" fillId="22" borderId="15" xfId="0" applyFont="1" applyFill="1" applyBorder="1" applyAlignment="1" applyProtection="1">
      <alignment horizontal="right" wrapText="1"/>
    </xf>
    <xf numFmtId="38" fontId="3" fillId="22" borderId="150" xfId="3" applyNumberFormat="1" applyFont="1" applyFill="1" applyBorder="1" applyAlignment="1" applyProtection="1"/>
    <xf numFmtId="38" fontId="3" fillId="22" borderId="34" xfId="3" applyNumberFormat="1" applyFont="1" applyFill="1" applyBorder="1" applyAlignment="1" applyProtection="1"/>
    <xf numFmtId="38" fontId="3" fillId="22" borderId="35" xfId="3" applyNumberFormat="1" applyFont="1" applyFill="1" applyBorder="1" applyAlignment="1" applyProtection="1"/>
    <xf numFmtId="165" fontId="3" fillId="22" borderId="3" xfId="1" applyNumberFormat="1" applyFont="1" applyFill="1" applyBorder="1" applyAlignment="1" applyProtection="1"/>
    <xf numFmtId="0" fontId="3" fillId="21" borderId="57" xfId="0" applyFont="1" applyFill="1" applyBorder="1" applyAlignment="1" applyProtection="1">
      <alignment horizontal="center" wrapText="1"/>
    </xf>
    <xf numFmtId="0" fontId="3" fillId="21" borderId="57" xfId="0" applyFont="1" applyFill="1" applyBorder="1" applyAlignment="1" applyProtection="1">
      <alignment horizontal="right" wrapText="1"/>
    </xf>
    <xf numFmtId="0" fontId="3" fillId="21" borderId="176" xfId="0" applyFont="1" applyFill="1" applyBorder="1" applyAlignment="1" applyProtection="1">
      <alignment horizontal="right" wrapText="1"/>
      <protection locked="0"/>
    </xf>
    <xf numFmtId="10" fontId="31" fillId="23" borderId="141" xfId="3" applyNumberFormat="1" applyFont="1" applyFill="1" applyBorder="1" applyAlignment="1" applyProtection="1">
      <protection locked="0"/>
    </xf>
    <xf numFmtId="10" fontId="31" fillId="23" borderId="18" xfId="3" applyNumberFormat="1" applyFont="1" applyFill="1" applyBorder="1" applyAlignment="1" applyProtection="1">
      <protection locked="0"/>
    </xf>
    <xf numFmtId="10" fontId="31" fillId="23" borderId="94" xfId="3" applyNumberFormat="1" applyFont="1" applyFill="1" applyBorder="1" applyAlignment="1" applyProtection="1">
      <protection locked="0"/>
    </xf>
    <xf numFmtId="0" fontId="3" fillId="22" borderId="4" xfId="0" applyFont="1" applyFill="1" applyBorder="1" applyAlignment="1" applyProtection="1">
      <alignment horizontal="center" wrapText="1"/>
    </xf>
    <xf numFmtId="0" fontId="3" fillId="22" borderId="144" xfId="0" applyFont="1" applyFill="1" applyBorder="1" applyAlignment="1" applyProtection="1">
      <alignment horizontal="right" vertical="center" wrapText="1"/>
    </xf>
    <xf numFmtId="165" fontId="3" fillId="21" borderId="4" xfId="1" applyNumberFormat="1" applyFont="1" applyFill="1" applyBorder="1" applyAlignment="1" applyProtection="1"/>
    <xf numFmtId="0" fontId="3" fillId="22" borderId="145" xfId="0" applyFont="1" applyFill="1" applyBorder="1" applyAlignment="1" applyProtection="1">
      <alignment horizontal="center" vertical="center" wrapText="1"/>
    </xf>
    <xf numFmtId="0" fontId="3" fillId="22" borderId="37" xfId="0" applyFont="1" applyFill="1" applyBorder="1" applyAlignment="1" applyProtection="1">
      <alignment horizontal="right" vertical="center" wrapText="1"/>
    </xf>
    <xf numFmtId="0" fontId="7" fillId="21" borderId="0" xfId="0" applyFont="1" applyFill="1" applyBorder="1" applyProtection="1"/>
    <xf numFmtId="38" fontId="3" fillId="22" borderId="4" xfId="3" applyNumberFormat="1" applyFont="1" applyFill="1" applyBorder="1" applyProtection="1"/>
    <xf numFmtId="0" fontId="9" fillId="18" borderId="205" xfId="0" applyFont="1" applyFill="1" applyBorder="1" applyProtection="1"/>
    <xf numFmtId="0" fontId="9" fillId="0" borderId="205" xfId="0" applyFont="1" applyBorder="1" applyAlignment="1" applyProtection="1"/>
    <xf numFmtId="5" fontId="3" fillId="0" borderId="206" xfId="0" applyNumberFormat="1" applyFont="1" applyBorder="1" applyAlignment="1" applyProtection="1">
      <alignment horizontal="right" vertical="center"/>
    </xf>
    <xf numFmtId="0" fontId="9" fillId="0" borderId="207" xfId="0" applyFont="1" applyBorder="1" applyAlignment="1" applyProtection="1"/>
    <xf numFmtId="5" fontId="3" fillId="0" borderId="205" xfId="0" applyNumberFormat="1" applyFont="1" applyBorder="1" applyAlignment="1" applyProtection="1">
      <alignment vertical="center"/>
    </xf>
    <xf numFmtId="38" fontId="7" fillId="0" borderId="65" xfId="3" applyNumberFormat="1" applyFont="1" applyFill="1" applyBorder="1" applyAlignment="1" applyProtection="1"/>
    <xf numFmtId="0" fontId="7" fillId="9" borderId="110" xfId="0" applyFont="1" applyFill="1" applyBorder="1" applyAlignment="1" applyProtection="1">
      <alignment horizontal="center" vertical="top" wrapText="1"/>
    </xf>
    <xf numFmtId="38" fontId="26" fillId="6" borderId="208" xfId="3" applyNumberFormat="1" applyFont="1" applyFill="1" applyBorder="1" applyAlignment="1" applyProtection="1"/>
    <xf numFmtId="38" fontId="26" fillId="6" borderId="209" xfId="3" applyNumberFormat="1" applyFont="1" applyFill="1" applyBorder="1" applyAlignment="1" applyProtection="1"/>
    <xf numFmtId="38" fontId="26" fillId="6" borderId="210" xfId="3" applyNumberFormat="1" applyFont="1" applyFill="1" applyBorder="1" applyAlignment="1" applyProtection="1"/>
    <xf numFmtId="38" fontId="6" fillId="4" borderId="104" xfId="0" applyNumberFormat="1" applyFont="1" applyFill="1" applyBorder="1" applyAlignment="1" applyProtection="1">
      <alignment horizontal="right" wrapText="1"/>
    </xf>
    <xf numFmtId="38" fontId="7" fillId="0" borderId="47" xfId="3" applyNumberFormat="1" applyFont="1" applyFill="1" applyBorder="1" applyAlignment="1" applyProtection="1">
      <alignment vertical="center"/>
    </xf>
    <xf numFmtId="0" fontId="6" fillId="11" borderId="211" xfId="0" applyFont="1" applyFill="1" applyBorder="1" applyAlignment="1" applyProtection="1">
      <alignment horizontal="right" wrapText="1"/>
    </xf>
    <xf numFmtId="0" fontId="9" fillId="0" borderId="16" xfId="0" applyFont="1" applyBorder="1" applyAlignment="1" applyProtection="1"/>
    <xf numFmtId="0" fontId="6" fillId="4" borderId="55" xfId="0" applyFont="1" applyFill="1" applyBorder="1" applyAlignment="1" applyProtection="1">
      <alignment horizontal="center" wrapText="1"/>
    </xf>
    <xf numFmtId="0" fontId="6" fillId="4" borderId="29" xfId="0" applyFont="1" applyFill="1" applyBorder="1" applyAlignment="1" applyProtection="1">
      <alignment horizontal="right" wrapText="1"/>
    </xf>
    <xf numFmtId="38" fontId="6" fillId="4" borderId="212" xfId="0" applyNumberFormat="1" applyFont="1" applyFill="1" applyBorder="1" applyAlignment="1" applyProtection="1">
      <alignment horizontal="right" wrapText="1"/>
    </xf>
    <xf numFmtId="38" fontId="6" fillId="4" borderId="213" xfId="0" applyNumberFormat="1" applyFont="1" applyFill="1" applyBorder="1" applyAlignment="1" applyProtection="1">
      <alignment horizontal="right" wrapText="1"/>
    </xf>
    <xf numFmtId="38" fontId="6" fillId="4" borderId="214" xfId="0" applyNumberFormat="1" applyFont="1" applyFill="1" applyBorder="1" applyAlignment="1" applyProtection="1">
      <alignment horizontal="right" wrapText="1"/>
    </xf>
    <xf numFmtId="38" fontId="6" fillId="4" borderId="170" xfId="0" applyNumberFormat="1" applyFont="1" applyFill="1" applyBorder="1" applyAlignment="1" applyProtection="1">
      <alignment horizontal="right" wrapText="1"/>
    </xf>
    <xf numFmtId="0" fontId="1" fillId="0" borderId="48" xfId="0" applyFont="1" applyBorder="1" applyAlignment="1" applyProtection="1"/>
    <xf numFmtId="0" fontId="6" fillId="11" borderId="36" xfId="0" applyFont="1" applyFill="1" applyBorder="1" applyAlignment="1" applyProtection="1">
      <alignment horizontal="right" wrapText="1"/>
    </xf>
    <xf numFmtId="0" fontId="9" fillId="0" borderId="48" xfId="0" applyFont="1" applyBorder="1" applyAlignment="1" applyProtection="1"/>
    <xf numFmtId="0" fontId="6" fillId="4" borderId="29" xfId="0" applyFont="1" applyFill="1" applyBorder="1" applyAlignment="1" applyProtection="1">
      <alignment horizontal="center" wrapText="1"/>
    </xf>
    <xf numFmtId="0" fontId="6" fillId="4" borderId="41" xfId="0" applyFont="1" applyFill="1" applyBorder="1" applyAlignment="1" applyProtection="1">
      <alignment horizontal="center" wrapText="1"/>
    </xf>
    <xf numFmtId="0" fontId="6" fillId="9" borderId="102" xfId="0" applyFont="1" applyFill="1" applyBorder="1" applyAlignment="1" applyProtection="1">
      <alignment horizontal="center" vertical="top" wrapText="1"/>
    </xf>
    <xf numFmtId="165" fontId="3" fillId="25" borderId="3" xfId="1" applyNumberFormat="1" applyFont="1" applyFill="1" applyBorder="1" applyAlignment="1" applyProtection="1"/>
    <xf numFmtId="165" fontId="3" fillId="26" borderId="48" xfId="1" applyNumberFormat="1" applyFont="1" applyFill="1" applyBorder="1" applyAlignment="1" applyProtection="1"/>
    <xf numFmtId="165" fontId="3" fillId="26" borderId="3" xfId="1" applyNumberFormat="1" applyFont="1" applyFill="1" applyBorder="1" applyAlignment="1" applyProtection="1"/>
    <xf numFmtId="5" fontId="3" fillId="0" borderId="215" xfId="0" applyNumberFormat="1" applyFont="1" applyBorder="1" applyAlignment="1" applyProtection="1">
      <alignment horizontal="right" vertical="center"/>
    </xf>
    <xf numFmtId="5" fontId="3" fillId="0" borderId="215" xfId="0" applyNumberFormat="1" applyFont="1" applyBorder="1" applyAlignment="1" applyProtection="1">
      <alignment vertical="center"/>
    </xf>
    <xf numFmtId="0" fontId="9" fillId="0" borderId="215" xfId="0" applyFont="1" applyFill="1" applyBorder="1" applyProtection="1"/>
    <xf numFmtId="0" fontId="3" fillId="0" borderId="216" xfId="0" applyFont="1" applyBorder="1" applyProtection="1"/>
    <xf numFmtId="165" fontId="6" fillId="0" borderId="181" xfId="1" applyNumberFormat="1" applyFont="1" applyFill="1" applyBorder="1" applyAlignment="1" applyProtection="1">
      <alignment horizontal="center" vertical="center" wrapText="1"/>
    </xf>
    <xf numFmtId="0" fontId="3" fillId="0" borderId="143" xfId="0" applyFont="1" applyFill="1" applyBorder="1" applyAlignment="1" applyProtection="1">
      <alignment horizontal="right" wrapText="1"/>
      <protection locked="0"/>
    </xf>
    <xf numFmtId="0" fontId="7" fillId="0" borderId="102" xfId="0" applyFont="1" applyBorder="1" applyAlignment="1" applyProtection="1">
      <alignment horizontal="left" wrapText="1" indent="1"/>
    </xf>
    <xf numFmtId="38" fontId="7" fillId="6" borderId="60" xfId="3" applyNumberFormat="1" applyFont="1" applyFill="1" applyBorder="1" applyAlignment="1" applyProtection="1"/>
    <xf numFmtId="38" fontId="7" fillId="5" borderId="61" xfId="3" applyNumberFormat="1" applyFont="1" applyFill="1" applyBorder="1" applyAlignment="1" applyProtection="1"/>
    <xf numFmtId="38" fontId="7" fillId="6" borderId="61" xfId="3" applyNumberFormat="1" applyFont="1" applyFill="1" applyBorder="1" applyAlignment="1" applyProtection="1"/>
    <xf numFmtId="38" fontId="7" fillId="5" borderId="62" xfId="3" applyNumberFormat="1" applyFont="1" applyFill="1" applyBorder="1" applyAlignment="1" applyProtection="1"/>
    <xf numFmtId="0" fontId="7" fillId="0" borderId="102" xfId="0" applyFont="1" applyBorder="1" applyAlignment="1" applyProtection="1">
      <alignment horizontal="left" wrapText="1"/>
    </xf>
    <xf numFmtId="5" fontId="6" fillId="0" borderId="33" xfId="3" applyNumberFormat="1" applyFont="1" applyFill="1" applyBorder="1" applyAlignment="1" applyProtection="1">
      <alignment horizontal="left"/>
    </xf>
    <xf numFmtId="0" fontId="7" fillId="0" borderId="100" xfId="0" applyFont="1" applyBorder="1" applyAlignment="1" applyProtection="1">
      <alignment horizontal="left" wrapText="1"/>
    </xf>
    <xf numFmtId="38" fontId="7" fillId="6" borderId="24" xfId="3" applyNumberFormat="1" applyFont="1" applyFill="1" applyBorder="1" applyAlignment="1" applyProtection="1"/>
    <xf numFmtId="38" fontId="7" fillId="5" borderId="8" xfId="3" applyNumberFormat="1" applyFont="1" applyFill="1" applyBorder="1" applyAlignment="1" applyProtection="1"/>
    <xf numFmtId="38" fontId="7" fillId="6" borderId="8" xfId="3" applyNumberFormat="1" applyFont="1" applyFill="1" applyBorder="1" applyAlignment="1" applyProtection="1"/>
    <xf numFmtId="38" fontId="7" fillId="5" borderId="9" xfId="3" applyNumberFormat="1" applyFont="1" applyFill="1" applyBorder="1" applyAlignment="1" applyProtection="1"/>
    <xf numFmtId="38" fontId="33" fillId="0" borderId="1" xfId="0" applyNumberFormat="1" applyFont="1" applyFill="1" applyBorder="1" applyAlignment="1" applyProtection="1">
      <protection locked="0"/>
    </xf>
    <xf numFmtId="38" fontId="1" fillId="4" borderId="47" xfId="0" applyNumberFormat="1" applyFont="1" applyFill="1" applyBorder="1" applyAlignment="1" applyProtection="1">
      <alignment horizontal="right" wrapText="1"/>
    </xf>
    <xf numFmtId="38" fontId="1" fillId="4" borderId="72" xfId="0" applyNumberFormat="1" applyFont="1" applyFill="1" applyBorder="1" applyAlignment="1" applyProtection="1">
      <alignment horizontal="right" wrapText="1"/>
    </xf>
    <xf numFmtId="38" fontId="1" fillId="4" borderId="73" xfId="0" applyNumberFormat="1" applyFont="1" applyFill="1" applyBorder="1" applyAlignment="1" applyProtection="1">
      <alignment horizontal="right" wrapText="1"/>
    </xf>
    <xf numFmtId="0" fontId="6" fillId="21" borderId="56" xfId="0" applyFont="1" applyFill="1" applyBorder="1" applyAlignment="1" applyProtection="1">
      <alignment horizontal="left" vertical="center" wrapText="1"/>
    </xf>
    <xf numFmtId="0" fontId="9" fillId="0" borderId="0" xfId="0" applyFont="1" applyBorder="1" applyAlignment="1" applyProtection="1">
      <alignment vertical="center"/>
    </xf>
    <xf numFmtId="0" fontId="7" fillId="0" borderId="0" xfId="0" applyFont="1" applyBorder="1" applyAlignment="1" applyProtection="1">
      <alignment wrapText="1"/>
    </xf>
    <xf numFmtId="0" fontId="7" fillId="0" borderId="0" xfId="0" applyFont="1" applyFill="1" applyBorder="1" applyAlignment="1" applyProtection="1">
      <alignment wrapText="1"/>
    </xf>
    <xf numFmtId="0" fontId="25" fillId="0" borderId="0" xfId="0" applyFont="1" applyBorder="1" applyAlignment="1" applyProtection="1">
      <alignment vertical="center"/>
    </xf>
    <xf numFmtId="0" fontId="7" fillId="0" borderId="0" xfId="0" applyFont="1" applyBorder="1" applyAlignment="1" applyProtection="1">
      <alignment vertical="center" wrapText="1"/>
    </xf>
    <xf numFmtId="0" fontId="7" fillId="0" borderId="117" xfId="0" applyFont="1" applyBorder="1" applyAlignment="1" applyProtection="1">
      <alignment wrapText="1"/>
    </xf>
    <xf numFmtId="0" fontId="7" fillId="0" borderId="0" xfId="0" applyFont="1" applyBorder="1" applyAlignment="1" applyProtection="1">
      <alignment horizontal="center"/>
    </xf>
    <xf numFmtId="0" fontId="37" fillId="0" borderId="0" xfId="0" applyFont="1" applyBorder="1" applyProtection="1"/>
    <xf numFmtId="165" fontId="37" fillId="0" borderId="0" xfId="1" applyNumberFormat="1" applyFont="1" applyProtection="1"/>
    <xf numFmtId="5" fontId="37" fillId="0" borderId="0" xfId="0" applyNumberFormat="1" applyFont="1" applyAlignment="1" applyProtection="1">
      <alignment horizontal="center"/>
    </xf>
    <xf numFmtId="166" fontId="37" fillId="0" borderId="0" xfId="3" applyNumberFormat="1" applyFont="1" applyProtection="1"/>
    <xf numFmtId="166" fontId="37" fillId="0" borderId="0" xfId="3" applyNumberFormat="1" applyFont="1" applyBorder="1" applyProtection="1"/>
    <xf numFmtId="166" fontId="37" fillId="0" borderId="0" xfId="0" applyNumberFormat="1" applyFont="1" applyProtection="1"/>
    <xf numFmtId="0" fontId="8" fillId="0" borderId="118" xfId="0" applyFont="1" applyFill="1" applyBorder="1" applyAlignment="1"/>
    <xf numFmtId="0" fontId="8" fillId="0" borderId="119" xfId="0" applyFont="1" applyFill="1" applyBorder="1" applyAlignment="1">
      <alignment wrapText="1"/>
    </xf>
    <xf numFmtId="0" fontId="8" fillId="0" borderId="120" xfId="0" applyFont="1" applyFill="1" applyBorder="1" applyAlignment="1">
      <alignment wrapText="1"/>
    </xf>
    <xf numFmtId="0" fontId="30" fillId="0" borderId="121" xfId="0" applyFont="1" applyFill="1" applyBorder="1" applyAlignment="1">
      <alignment wrapText="1"/>
    </xf>
    <xf numFmtId="0" fontId="30" fillId="0" borderId="122" xfId="0" applyFont="1" applyFill="1" applyBorder="1" applyAlignment="1">
      <alignment wrapText="1"/>
    </xf>
    <xf numFmtId="0" fontId="30" fillId="0" borderId="122" xfId="0" applyFont="1" applyFill="1" applyBorder="1" applyAlignment="1">
      <alignment horizontal="center" wrapText="1"/>
    </xf>
    <xf numFmtId="0" fontId="29" fillId="0" borderId="121" xfId="0" applyFont="1" applyFill="1" applyBorder="1" applyAlignment="1">
      <alignment vertical="center"/>
    </xf>
    <xf numFmtId="0" fontId="29" fillId="0" borderId="122" xfId="0" applyFont="1" applyFill="1" applyBorder="1" applyAlignment="1">
      <alignment vertical="center"/>
    </xf>
    <xf numFmtId="37" fontId="29" fillId="0" borderId="122" xfId="0" applyNumberFormat="1" applyFont="1" applyFill="1" applyBorder="1" applyAlignment="1">
      <alignment horizontal="center" vertical="center"/>
    </xf>
    <xf numFmtId="37" fontId="29" fillId="0" borderId="122" xfId="0" applyNumberFormat="1" applyFont="1" applyFill="1" applyBorder="1" applyAlignment="1">
      <alignment horizontal="center" vertical="center" wrapText="1"/>
    </xf>
    <xf numFmtId="40" fontId="29" fillId="0" borderId="122" xfId="0" applyNumberFormat="1" applyFont="1" applyFill="1" applyBorder="1" applyAlignment="1">
      <alignment horizontal="center" vertical="center"/>
    </xf>
    <xf numFmtId="40" fontId="29" fillId="0" borderId="122" xfId="0" applyNumberFormat="1" applyFont="1" applyFill="1" applyBorder="1" applyAlignment="1">
      <alignment horizontal="center" vertical="center" wrapText="1"/>
    </xf>
    <xf numFmtId="0" fontId="28" fillId="0" borderId="0" xfId="0" applyFont="1" applyFill="1"/>
    <xf numFmtId="0" fontId="9" fillId="0" borderId="0" xfId="0" applyFont="1" applyFill="1" applyProtection="1"/>
    <xf numFmtId="0" fontId="9" fillId="0" borderId="94" xfId="0" applyFont="1" applyFill="1" applyBorder="1" applyProtection="1"/>
    <xf numFmtId="0" fontId="16" fillId="0" borderId="113" xfId="0" applyFont="1" applyFill="1" applyBorder="1" applyAlignment="1" applyProtection="1">
      <alignment vertical="top" wrapText="1"/>
    </xf>
    <xf numFmtId="0" fontId="9" fillId="0" borderId="110" xfId="0" applyFont="1" applyFill="1" applyBorder="1" applyAlignment="1" applyProtection="1">
      <alignment horizontal="center" vertical="top" wrapText="1"/>
    </xf>
    <xf numFmtId="0" fontId="16" fillId="0" borderId="114" xfId="0" applyFont="1" applyFill="1" applyBorder="1" applyAlignment="1" applyProtection="1">
      <alignment vertical="top" wrapText="1"/>
    </xf>
    <xf numFmtId="0" fontId="1" fillId="0" borderId="110" xfId="0" applyFont="1" applyFill="1" applyBorder="1" applyAlignment="1" applyProtection="1">
      <alignment horizontal="center" vertical="top" wrapText="1"/>
    </xf>
    <xf numFmtId="0" fontId="7" fillId="0" borderId="171" xfId="0" applyFont="1" applyBorder="1" applyAlignment="1" applyProtection="1">
      <alignment horizontal="left" wrapText="1"/>
      <protection locked="0"/>
    </xf>
    <xf numFmtId="38" fontId="7" fillId="21" borderId="217" xfId="3" applyNumberFormat="1" applyFont="1" applyFill="1" applyBorder="1" applyAlignment="1" applyProtection="1"/>
    <xf numFmtId="0" fontId="0" fillId="0" borderId="0" xfId="0" applyAlignment="1">
      <alignment vertical="top"/>
    </xf>
    <xf numFmtId="0" fontId="0" fillId="0" borderId="0" xfId="0" applyBorder="1" applyAlignment="1">
      <alignment vertical="top"/>
    </xf>
    <xf numFmtId="0" fontId="0" fillId="0" borderId="0" xfId="0" applyAlignment="1">
      <alignment horizontal="left" vertical="top"/>
    </xf>
    <xf numFmtId="0" fontId="7" fillId="0" borderId="0" xfId="0" applyFont="1" applyAlignment="1">
      <alignment horizontal="left" vertical="top"/>
    </xf>
    <xf numFmtId="0" fontId="7" fillId="0" borderId="1" xfId="0" applyFont="1" applyBorder="1" applyAlignment="1">
      <alignment horizontal="left" vertical="top"/>
    </xf>
    <xf numFmtId="0" fontId="7" fillId="0" borderId="1" xfId="0" applyFont="1" applyBorder="1" applyAlignment="1">
      <alignment horizontal="left" vertical="top" wrapText="1"/>
    </xf>
    <xf numFmtId="0" fontId="7" fillId="0" borderId="1" xfId="0" applyFont="1" applyBorder="1" applyAlignment="1">
      <alignment vertical="top"/>
    </xf>
    <xf numFmtId="0" fontId="7" fillId="0" borderId="1" xfId="0" applyFont="1" applyBorder="1" applyAlignment="1">
      <alignment horizontal="center" vertical="top"/>
    </xf>
    <xf numFmtId="14" fontId="7" fillId="0" borderId="1" xfId="0" applyNumberFormat="1" applyFont="1" applyBorder="1" applyAlignment="1">
      <alignment horizontal="center" vertical="top"/>
    </xf>
    <xf numFmtId="0" fontId="7" fillId="0" borderId="1" xfId="0" quotePrefix="1" applyFont="1" applyBorder="1" applyAlignment="1">
      <alignment horizontal="center" vertical="top" wrapText="1"/>
    </xf>
    <xf numFmtId="14" fontId="7" fillId="0" borderId="1" xfId="0" applyNumberFormat="1" applyFont="1" applyBorder="1" applyAlignment="1">
      <alignment horizontal="center" vertical="top" wrapText="1"/>
    </xf>
    <xf numFmtId="0" fontId="0" fillId="0" borderId="0" xfId="0" applyAlignment="1">
      <alignment horizontal="left" vertical="top" wrapText="1"/>
    </xf>
    <xf numFmtId="0" fontId="3" fillId="0" borderId="0" xfId="0" applyFont="1" applyBorder="1" applyAlignment="1" applyProtection="1">
      <alignment vertical="top"/>
    </xf>
    <xf numFmtId="0" fontId="22" fillId="0" borderId="126" xfId="10" applyFont="1" applyBorder="1" applyAlignment="1" applyProtection="1">
      <alignment vertical="top"/>
    </xf>
    <xf numFmtId="0" fontId="22" fillId="0" borderId="126" xfId="10" applyFont="1" applyBorder="1" applyAlignment="1" applyProtection="1">
      <alignment horizontal="right" vertical="top"/>
    </xf>
    <xf numFmtId="0" fontId="23" fillId="0" borderId="126" xfId="10" applyFont="1" applyBorder="1" applyAlignment="1" applyProtection="1">
      <alignment horizontal="right" vertical="top"/>
    </xf>
    <xf numFmtId="37" fontId="22" fillId="0" borderId="126" xfId="10" applyNumberFormat="1" applyFont="1" applyBorder="1" applyAlignment="1" applyProtection="1">
      <alignment vertical="top"/>
    </xf>
    <xf numFmtId="37" fontId="23" fillId="0" borderId="126" xfId="10" applyNumberFormat="1" applyFont="1" applyBorder="1" applyAlignment="1" applyProtection="1">
      <alignment horizontal="right" vertical="top"/>
    </xf>
    <xf numFmtId="0" fontId="7" fillId="0" borderId="1" xfId="0" quotePrefix="1" applyFont="1" applyBorder="1" applyAlignment="1">
      <alignment horizontal="center" vertical="top"/>
    </xf>
    <xf numFmtId="0" fontId="0" fillId="0" borderId="0" xfId="0" applyAlignment="1">
      <alignment horizontal="left" vertical="center"/>
    </xf>
    <xf numFmtId="37" fontId="2" fillId="27" borderId="126" xfId="10" applyNumberFormat="1" applyFill="1" applyBorder="1" applyAlignment="1" applyProtection="1">
      <alignment horizontal="left" vertical="top"/>
    </xf>
    <xf numFmtId="37" fontId="22" fillId="27" borderId="126" xfId="10" applyNumberFormat="1" applyFont="1" applyFill="1" applyBorder="1" applyAlignment="1" applyProtection="1">
      <alignment horizontal="left" vertical="top"/>
    </xf>
    <xf numFmtId="0" fontId="6" fillId="0" borderId="0" xfId="0" applyFont="1"/>
    <xf numFmtId="164" fontId="0" fillId="0" borderId="0" xfId="0" applyNumberFormat="1"/>
    <xf numFmtId="164" fontId="6" fillId="28" borderId="0" xfId="0" applyNumberFormat="1" applyFont="1" applyFill="1"/>
    <xf numFmtId="0" fontId="1" fillId="0" borderId="0" xfId="0" applyFont="1" applyAlignment="1">
      <alignment wrapText="1"/>
    </xf>
    <xf numFmtId="0" fontId="0" fillId="0" borderId="0" xfId="0" applyAlignment="1">
      <alignment wrapText="1"/>
    </xf>
    <xf numFmtId="0" fontId="6" fillId="0" borderId="0" xfId="0" applyFont="1" applyAlignment="1">
      <alignment wrapText="1"/>
    </xf>
    <xf numFmtId="0" fontId="6" fillId="28" borderId="0" xfId="0" applyFont="1" applyFill="1" applyAlignment="1">
      <alignment wrapText="1"/>
    </xf>
    <xf numFmtId="164" fontId="0" fillId="28" borderId="0" xfId="0" applyNumberFormat="1" applyFill="1"/>
    <xf numFmtId="38" fontId="21" fillId="6" borderId="24" xfId="3" applyNumberFormat="1" applyFont="1" applyFill="1" applyBorder="1" applyAlignment="1" applyProtection="1">
      <protection locked="0"/>
    </xf>
    <xf numFmtId="38" fontId="21" fillId="6" borderId="8" xfId="3" applyNumberFormat="1" applyFont="1" applyFill="1" applyBorder="1" applyAlignment="1" applyProtection="1">
      <protection locked="0"/>
    </xf>
    <xf numFmtId="38" fontId="21" fillId="6" borderId="24" xfId="3" applyNumberFormat="1" applyFont="1" applyFill="1" applyBorder="1" applyAlignment="1" applyProtection="1">
      <protection locked="0"/>
    </xf>
    <xf numFmtId="38" fontId="21" fillId="5" borderId="8" xfId="3" applyNumberFormat="1" applyFont="1" applyFill="1" applyBorder="1" applyAlignment="1" applyProtection="1">
      <protection locked="0"/>
    </xf>
    <xf numFmtId="38" fontId="21" fillId="6" borderId="8" xfId="3" applyNumberFormat="1" applyFont="1" applyFill="1" applyBorder="1" applyAlignment="1" applyProtection="1">
      <protection locked="0"/>
    </xf>
    <xf numFmtId="0" fontId="7" fillId="0" borderId="100" xfId="0" applyFont="1" applyBorder="1" applyAlignment="1" applyProtection="1">
      <alignment horizontal="left" wrapText="1"/>
      <protection locked="0"/>
    </xf>
    <xf numFmtId="38" fontId="7" fillId="0" borderId="159" xfId="3" applyNumberFormat="1" applyFont="1" applyFill="1" applyBorder="1" applyAlignment="1" applyProtection="1"/>
    <xf numFmtId="38" fontId="21" fillId="5" borderId="218" xfId="3" applyNumberFormat="1" applyFont="1" applyFill="1" applyBorder="1" applyAlignment="1" applyProtection="1">
      <protection locked="0"/>
    </xf>
    <xf numFmtId="38" fontId="21" fillId="5" borderId="219" xfId="3" applyNumberFormat="1" applyFont="1" applyFill="1" applyBorder="1" applyAlignment="1" applyProtection="1">
      <protection locked="0"/>
    </xf>
    <xf numFmtId="38" fontId="21" fillId="6" borderId="219" xfId="3" applyNumberFormat="1" applyFont="1" applyFill="1" applyBorder="1" applyAlignment="1" applyProtection="1">
      <protection locked="0"/>
    </xf>
    <xf numFmtId="38" fontId="21" fillId="5" borderId="220" xfId="3" applyNumberFormat="1" applyFont="1" applyFill="1" applyBorder="1" applyAlignment="1" applyProtection="1">
      <protection locked="0"/>
    </xf>
    <xf numFmtId="38" fontId="21" fillId="6" borderId="221" xfId="3" applyNumberFormat="1" applyFont="1" applyFill="1" applyBorder="1" applyAlignment="1" applyProtection="1">
      <protection locked="0"/>
    </xf>
    <xf numFmtId="38" fontId="21" fillId="5" borderId="221" xfId="3" applyNumberFormat="1" applyFont="1" applyFill="1" applyBorder="1" applyAlignment="1" applyProtection="1">
      <protection locked="0"/>
    </xf>
    <xf numFmtId="38" fontId="21" fillId="5" borderId="222" xfId="3" applyNumberFormat="1" applyFont="1" applyFill="1" applyBorder="1" applyAlignment="1" applyProtection="1">
      <protection locked="0"/>
    </xf>
    <xf numFmtId="38" fontId="21" fillId="6" borderId="0" xfId="3" applyNumberFormat="1" applyFont="1" applyFill="1" applyBorder="1" applyAlignment="1" applyProtection="1">
      <protection locked="0"/>
    </xf>
    <xf numFmtId="0" fontId="7" fillId="0" borderId="126" xfId="15" applyFont="1" applyBorder="1" applyAlignment="1" applyProtection="1">
      <alignment vertical="top" wrapText="1"/>
    </xf>
    <xf numFmtId="0" fontId="7" fillId="0" borderId="134" xfId="15" applyFont="1" applyBorder="1" applyAlignment="1" applyProtection="1">
      <alignment vertical="center" wrapText="1"/>
    </xf>
    <xf numFmtId="0" fontId="7" fillId="0" borderId="135" xfId="15" applyFont="1" applyBorder="1" applyAlignment="1" applyProtection="1">
      <alignment vertical="center" wrapText="1"/>
    </xf>
    <xf numFmtId="0" fontId="7" fillId="0" borderId="126" xfId="15" applyFont="1" applyBorder="1" applyAlignment="1" applyProtection="1">
      <alignment vertical="center" wrapText="1"/>
    </xf>
    <xf numFmtId="0" fontId="7" fillId="0" borderId="114" xfId="15" applyFont="1" applyBorder="1" applyAlignment="1" applyProtection="1">
      <alignment vertical="center" wrapText="1"/>
    </xf>
    <xf numFmtId="0" fontId="7" fillId="0" borderId="126" xfId="15" applyFont="1" applyFill="1" applyBorder="1" applyAlignment="1" applyProtection="1">
      <alignment vertical="top" wrapText="1"/>
    </xf>
    <xf numFmtId="0" fontId="8" fillId="3" borderId="111" xfId="0" applyFont="1" applyFill="1" applyBorder="1" applyAlignment="1" applyProtection="1">
      <alignment horizontal="left" vertical="center" wrapText="1"/>
    </xf>
    <xf numFmtId="0" fontId="8" fillId="3" borderId="126" xfId="0" applyFont="1" applyFill="1" applyBorder="1" applyAlignment="1" applyProtection="1">
      <alignment horizontal="left" vertical="center" wrapText="1"/>
    </xf>
    <xf numFmtId="0" fontId="8" fillId="3" borderId="114" xfId="0" applyFont="1" applyFill="1" applyBorder="1" applyAlignment="1" applyProtection="1">
      <alignment horizontal="left" vertical="center" wrapText="1"/>
    </xf>
    <xf numFmtId="0" fontId="16" fillId="0" borderId="133" xfId="0" applyFont="1" applyFill="1" applyBorder="1" applyAlignment="1" applyProtection="1">
      <alignment vertical="top" wrapText="1"/>
    </xf>
    <xf numFmtId="0" fontId="16" fillId="0" borderId="130" xfId="0" applyFont="1" applyFill="1" applyBorder="1" applyAlignment="1" applyProtection="1">
      <alignment vertical="top" wrapText="1"/>
    </xf>
    <xf numFmtId="0" fontId="3" fillId="0" borderId="136" xfId="0" applyFont="1" applyBorder="1" applyAlignment="1" applyProtection="1">
      <alignment horizontal="center" vertical="center" wrapText="1"/>
    </xf>
    <xf numFmtId="0" fontId="3" fillId="0" borderId="124" xfId="0" applyFont="1" applyBorder="1" applyAlignment="1" applyProtection="1">
      <alignment horizontal="center" vertical="center" wrapText="1"/>
    </xf>
    <xf numFmtId="0" fontId="16" fillId="0" borderId="125" xfId="0" applyFont="1" applyFill="1" applyBorder="1" applyAlignment="1" applyProtection="1">
      <alignment vertical="top" wrapText="1"/>
    </xf>
    <xf numFmtId="0" fontId="16" fillId="0" borderId="126" xfId="0" applyFont="1" applyFill="1" applyBorder="1" applyAlignment="1" applyProtection="1">
      <alignment vertical="top" wrapText="1"/>
    </xf>
    <xf numFmtId="0" fontId="8" fillId="0" borderId="125" xfId="0" applyFont="1" applyFill="1" applyBorder="1" applyAlignment="1" applyProtection="1">
      <alignment vertical="top" wrapText="1"/>
    </xf>
    <xf numFmtId="0" fontId="8" fillId="0" borderId="126" xfId="0" applyFont="1" applyFill="1" applyBorder="1" applyAlignment="1" applyProtection="1">
      <alignment vertical="top" wrapText="1"/>
    </xf>
    <xf numFmtId="0" fontId="16" fillId="3" borderId="125" xfId="0" applyFont="1" applyFill="1" applyBorder="1" applyAlignment="1" applyProtection="1">
      <alignment horizontal="left" vertical="top" wrapText="1"/>
    </xf>
    <xf numFmtId="0" fontId="16" fillId="3" borderId="126" xfId="0" applyFont="1" applyFill="1" applyBorder="1" applyAlignment="1" applyProtection="1">
      <alignment horizontal="left" vertical="top" wrapText="1"/>
    </xf>
    <xf numFmtId="0" fontId="8" fillId="9" borderId="125" xfId="0" applyFont="1" applyFill="1" applyBorder="1" applyAlignment="1" applyProtection="1">
      <alignment horizontal="left" vertical="top" wrapText="1"/>
    </xf>
    <xf numFmtId="0" fontId="8" fillId="9" borderId="126" xfId="0" applyFont="1" applyFill="1" applyBorder="1" applyAlignment="1" applyProtection="1">
      <alignment horizontal="left" vertical="top" wrapText="1"/>
    </xf>
    <xf numFmtId="0" fontId="7" fillId="9" borderId="131" xfId="10" applyFont="1" applyFill="1" applyBorder="1" applyAlignment="1" applyProtection="1">
      <alignment horizontal="left" vertical="top" wrapText="1"/>
    </xf>
    <xf numFmtId="0" fontId="7" fillId="9" borderId="132" xfId="10" applyFont="1" applyFill="1" applyBorder="1" applyAlignment="1" applyProtection="1">
      <alignment horizontal="left" vertical="top" wrapText="1"/>
    </xf>
    <xf numFmtId="0" fontId="7" fillId="9" borderId="125" xfId="10" applyFont="1" applyFill="1" applyBorder="1" applyAlignment="1" applyProtection="1">
      <alignment horizontal="left" vertical="top" wrapText="1"/>
    </xf>
    <xf numFmtId="0" fontId="7" fillId="9" borderId="126" xfId="10" applyFont="1" applyFill="1" applyBorder="1" applyAlignment="1" applyProtection="1">
      <alignment horizontal="left" vertical="top" wrapText="1"/>
    </xf>
    <xf numFmtId="0" fontId="10" fillId="3" borderId="129" xfId="0" applyFont="1" applyFill="1" applyBorder="1" applyAlignment="1" applyProtection="1">
      <alignment horizontal="left" vertical="center" wrapText="1"/>
    </xf>
    <xf numFmtId="0" fontId="10" fillId="3" borderId="130" xfId="0" applyFont="1" applyFill="1" applyBorder="1" applyAlignment="1" applyProtection="1">
      <alignment horizontal="left" vertical="center" wrapText="1"/>
    </xf>
    <xf numFmtId="0" fontId="10" fillId="3" borderId="113" xfId="0" applyFont="1" applyFill="1" applyBorder="1" applyAlignment="1" applyProtection="1">
      <alignment horizontal="left" vertical="center" wrapText="1"/>
    </xf>
    <xf numFmtId="0" fontId="10" fillId="3" borderId="111" xfId="0" applyFont="1" applyFill="1" applyBorder="1" applyAlignment="1" applyProtection="1">
      <alignment horizontal="left" vertical="center" wrapText="1"/>
    </xf>
    <xf numFmtId="0" fontId="10" fillId="3" borderId="126" xfId="0" applyFont="1" applyFill="1" applyBorder="1" applyAlignment="1" applyProtection="1">
      <alignment horizontal="left" vertical="center" wrapText="1"/>
    </xf>
    <xf numFmtId="0" fontId="10" fillId="3" borderId="114" xfId="0" applyFont="1" applyFill="1" applyBorder="1" applyAlignment="1" applyProtection="1">
      <alignment horizontal="left" vertical="center" wrapText="1"/>
    </xf>
    <xf numFmtId="0" fontId="7" fillId="3" borderId="125" xfId="10" applyFont="1" applyFill="1" applyBorder="1" applyAlignment="1" applyProtection="1">
      <alignment horizontal="left" vertical="top" wrapText="1"/>
    </xf>
    <xf numFmtId="0" fontId="7" fillId="3" borderId="126" xfId="10" applyFont="1" applyFill="1" applyBorder="1" applyAlignment="1" applyProtection="1">
      <alignment horizontal="left" vertical="top" wrapText="1"/>
    </xf>
    <xf numFmtId="0" fontId="8" fillId="9" borderId="131" xfId="0" applyFont="1" applyFill="1" applyBorder="1" applyAlignment="1" applyProtection="1">
      <alignment horizontal="left" vertical="top" wrapText="1"/>
    </xf>
    <xf numFmtId="0" fontId="8" fillId="9" borderId="132" xfId="0" applyFont="1" applyFill="1" applyBorder="1" applyAlignment="1" applyProtection="1">
      <alignment horizontal="left" vertical="top" wrapText="1"/>
    </xf>
    <xf numFmtId="0" fontId="16" fillId="3" borderId="133" xfId="0" applyFont="1" applyFill="1" applyBorder="1" applyAlignment="1" applyProtection="1">
      <alignment horizontal="left" vertical="top" wrapText="1"/>
    </xf>
    <xf numFmtId="0" fontId="16" fillId="3" borderId="130" xfId="0" applyFont="1" applyFill="1" applyBorder="1" applyAlignment="1" applyProtection="1">
      <alignment horizontal="left" vertical="top" wrapText="1"/>
    </xf>
    <xf numFmtId="0" fontId="5" fillId="24" borderId="123" xfId="0" applyFont="1" applyFill="1" applyBorder="1" applyAlignment="1" applyProtection="1">
      <alignment horizontal="left" vertical="center"/>
    </xf>
    <xf numFmtId="0" fontId="0" fillId="24" borderId="124" xfId="0" applyFill="1" applyBorder="1" applyAlignment="1" applyProtection="1"/>
    <xf numFmtId="0" fontId="0" fillId="24" borderId="99" xfId="0" applyFill="1" applyBorder="1" applyAlignment="1" applyProtection="1"/>
    <xf numFmtId="0" fontId="16" fillId="3" borderId="127" xfId="0" applyFont="1" applyFill="1" applyBorder="1" applyAlignment="1" applyProtection="1">
      <alignment horizontal="left" vertical="top" wrapText="1"/>
    </xf>
    <xf numFmtId="0" fontId="16" fillId="3" borderId="128" xfId="0" applyFont="1" applyFill="1" applyBorder="1" applyAlignment="1" applyProtection="1">
      <alignment horizontal="left" vertical="top" wrapText="1"/>
    </xf>
    <xf numFmtId="0" fontId="5" fillId="24" borderId="124" xfId="0" applyFont="1" applyFill="1" applyBorder="1" applyAlignment="1" applyProtection="1">
      <alignment horizontal="left" vertical="center"/>
    </xf>
    <xf numFmtId="0" fontId="5" fillId="24" borderId="99" xfId="0" applyFont="1" applyFill="1" applyBorder="1" applyAlignment="1" applyProtection="1">
      <alignment horizontal="left" vertical="center"/>
    </xf>
    <xf numFmtId="0" fontId="16" fillId="3" borderId="125" xfId="0" applyFont="1" applyFill="1" applyBorder="1" applyAlignment="1" applyProtection="1">
      <alignment vertical="top" wrapText="1"/>
    </xf>
    <xf numFmtId="0" fontId="16" fillId="3" borderId="126" xfId="0" applyFont="1" applyFill="1" applyBorder="1" applyAlignment="1" applyProtection="1">
      <alignment vertical="top" wrapText="1"/>
    </xf>
    <xf numFmtId="0" fontId="10" fillId="0" borderId="129" xfId="0" applyFont="1" applyBorder="1" applyAlignment="1" applyProtection="1">
      <alignment horizontal="left" vertical="center" wrapText="1"/>
    </xf>
    <xf numFmtId="0" fontId="10" fillId="0" borderId="130" xfId="0" applyFont="1" applyBorder="1" applyAlignment="1" applyProtection="1">
      <alignment horizontal="left" vertical="center" wrapText="1"/>
    </xf>
    <xf numFmtId="0" fontId="10" fillId="0" borderId="113" xfId="0" applyFont="1" applyBorder="1" applyAlignment="1" applyProtection="1">
      <alignment horizontal="left" vertical="center" wrapText="1"/>
    </xf>
    <xf numFmtId="0" fontId="24" fillId="0" borderId="123" xfId="0" applyFont="1" applyBorder="1" applyAlignment="1" applyProtection="1">
      <alignment horizontal="left" vertical="center" wrapText="1"/>
    </xf>
    <xf numFmtId="0" fontId="24" fillId="0" borderId="124" xfId="0" applyFont="1" applyBorder="1" applyAlignment="1" applyProtection="1">
      <alignment horizontal="left" vertical="center" wrapText="1"/>
    </xf>
    <xf numFmtId="0" fontId="24" fillId="0" borderId="99" xfId="0" applyFont="1" applyBorder="1" applyAlignment="1" applyProtection="1">
      <alignment horizontal="left" vertical="center" wrapText="1"/>
    </xf>
    <xf numFmtId="0" fontId="7" fillId="3" borderId="125" xfId="0" applyFont="1" applyFill="1" applyBorder="1" applyAlignment="1" applyProtection="1">
      <alignment horizontal="left" vertical="top" wrapText="1"/>
    </xf>
    <xf numFmtId="0" fontId="7" fillId="3" borderId="126" xfId="0" applyFont="1" applyFill="1" applyBorder="1" applyAlignment="1" applyProtection="1">
      <alignment horizontal="left" vertical="top" wrapText="1"/>
    </xf>
    <xf numFmtId="0" fontId="7" fillId="0" borderId="0" xfId="15" applyFont="1" applyAlignment="1" applyProtection="1">
      <alignment horizontal="left" vertical="center" wrapText="1"/>
    </xf>
    <xf numFmtId="0" fontId="8" fillId="0" borderId="111" xfId="0" applyFont="1" applyBorder="1" applyAlignment="1" applyProtection="1">
      <alignment horizontal="left" vertical="center" wrapText="1"/>
    </xf>
    <xf numFmtId="0" fontId="8" fillId="0" borderId="126" xfId="0" applyFont="1" applyBorder="1" applyAlignment="1" applyProtection="1">
      <alignment horizontal="left" vertical="center" wrapText="1"/>
    </xf>
    <xf numFmtId="0" fontId="8" fillId="0" borderId="114" xfId="0" applyFont="1" applyBorder="1" applyAlignment="1" applyProtection="1">
      <alignment horizontal="left" vertical="center" wrapText="1"/>
    </xf>
    <xf numFmtId="0" fontId="24" fillId="24" borderId="123" xfId="0" applyFont="1" applyFill="1" applyBorder="1" applyAlignment="1" applyProtection="1">
      <alignment horizontal="left" vertical="center" wrapText="1"/>
    </xf>
    <xf numFmtId="0" fontId="24" fillId="24" borderId="124" xfId="0" applyFont="1" applyFill="1" applyBorder="1" applyAlignment="1" applyProtection="1">
      <alignment horizontal="left" vertical="center" wrapText="1"/>
    </xf>
    <xf numFmtId="0" fontId="24" fillId="24" borderId="99" xfId="0" applyFont="1" applyFill="1" applyBorder="1" applyAlignment="1" applyProtection="1">
      <alignment horizontal="left" vertical="center" wrapText="1"/>
    </xf>
    <xf numFmtId="0" fontId="7" fillId="27" borderId="126" xfId="15" applyFont="1" applyFill="1" applyBorder="1" applyAlignment="1" applyProtection="1">
      <alignment horizontal="left" vertical="top" wrapText="1"/>
    </xf>
    <xf numFmtId="0" fontId="8" fillId="9" borderId="112" xfId="0" applyFont="1" applyFill="1" applyBorder="1" applyAlignment="1" applyProtection="1">
      <alignment vertical="top" wrapText="1"/>
    </xf>
    <xf numFmtId="0" fontId="8" fillId="9" borderId="132" xfId="0" applyFont="1" applyFill="1" applyBorder="1" applyAlignment="1" applyProtection="1">
      <alignment vertical="top" wrapText="1"/>
    </xf>
    <xf numFmtId="0" fontId="16" fillId="9" borderId="125" xfId="0" applyFont="1" applyFill="1" applyBorder="1" applyAlignment="1" applyProtection="1">
      <alignment vertical="top" wrapText="1"/>
    </xf>
    <xf numFmtId="0" fontId="16" fillId="9" borderId="126" xfId="0" applyFont="1" applyFill="1" applyBorder="1" applyAlignment="1" applyProtection="1">
      <alignment vertical="top" wrapText="1"/>
    </xf>
    <xf numFmtId="0" fontId="16" fillId="3" borderId="127" xfId="0" applyFont="1" applyFill="1" applyBorder="1" applyAlignment="1" applyProtection="1">
      <alignment vertical="top" wrapText="1"/>
    </xf>
    <xf numFmtId="0" fontId="16" fillId="3" borderId="128" xfId="0" applyFont="1" applyFill="1" applyBorder="1" applyAlignment="1" applyProtection="1">
      <alignment vertical="top" wrapText="1"/>
    </xf>
    <xf numFmtId="0" fontId="10" fillId="3" borderId="109" xfId="0" applyFont="1" applyFill="1" applyBorder="1" applyAlignment="1" applyProtection="1">
      <alignment horizontal="left" vertical="center" wrapText="1"/>
    </xf>
    <xf numFmtId="0" fontId="10" fillId="3" borderId="134" xfId="0" applyFont="1" applyFill="1" applyBorder="1" applyAlignment="1" applyProtection="1">
      <alignment horizontal="left" vertical="center" wrapText="1"/>
    </xf>
    <xf numFmtId="0" fontId="10" fillId="3" borderId="135" xfId="0" applyFont="1" applyFill="1" applyBorder="1" applyAlignment="1" applyProtection="1">
      <alignment horizontal="left" vertical="center" wrapText="1"/>
    </xf>
    <xf numFmtId="0" fontId="8" fillId="0" borderId="204" xfId="0" applyFont="1" applyFill="1" applyBorder="1" applyAlignment="1" applyProtection="1">
      <alignment vertical="top" wrapText="1"/>
    </xf>
    <xf numFmtId="0" fontId="3" fillId="0" borderId="137" xfId="0" applyFont="1" applyFill="1" applyBorder="1" applyAlignment="1" applyProtection="1">
      <alignment horizontal="center" wrapText="1"/>
    </xf>
    <xf numFmtId="0" fontId="3" fillId="0" borderId="102" xfId="0" applyFont="1" applyFill="1" applyBorder="1" applyAlignment="1" applyProtection="1">
      <alignment horizontal="center" wrapText="1"/>
    </xf>
    <xf numFmtId="0" fontId="3" fillId="0" borderId="137" xfId="0" applyFont="1" applyBorder="1" applyAlignment="1" applyProtection="1">
      <alignment horizontal="center" wrapText="1"/>
    </xf>
    <xf numFmtId="0" fontId="3" fillId="0" borderId="102" xfId="0" applyFont="1" applyBorder="1" applyAlignment="1" applyProtection="1">
      <alignment horizontal="center" wrapText="1"/>
    </xf>
    <xf numFmtId="38" fontId="6" fillId="3" borderId="87" xfId="3" applyNumberFormat="1" applyFont="1" applyFill="1" applyBorder="1" applyAlignment="1" applyProtection="1">
      <alignment vertical="center"/>
      <protection locked="0"/>
    </xf>
    <xf numFmtId="38" fontId="6" fillId="3" borderId="7" xfId="3" applyNumberFormat="1" applyFont="1" applyFill="1" applyBorder="1" applyAlignment="1" applyProtection="1">
      <alignment vertical="center"/>
      <protection locked="0"/>
    </xf>
    <xf numFmtId="38" fontId="6" fillId="3" borderId="138" xfId="3" applyNumberFormat="1" applyFont="1" applyFill="1" applyBorder="1" applyAlignment="1" applyProtection="1">
      <alignment vertical="center"/>
      <protection locked="0"/>
    </xf>
    <xf numFmtId="0" fontId="7" fillId="0" borderId="139" xfId="0" applyFont="1" applyBorder="1" applyAlignment="1">
      <alignment horizontal="left" wrapText="1"/>
    </xf>
    <xf numFmtId="0" fontId="7" fillId="0" borderId="15" xfId="0" applyFont="1" applyBorder="1" applyAlignment="1">
      <alignment horizontal="left" wrapText="1"/>
    </xf>
    <xf numFmtId="0" fontId="7" fillId="0" borderId="140" xfId="0" applyFont="1" applyBorder="1" applyAlignment="1">
      <alignment horizontal="left" wrapText="1"/>
    </xf>
    <xf numFmtId="0" fontId="3" fillId="0" borderId="141" xfId="0" applyFont="1" applyBorder="1" applyAlignment="1">
      <alignment horizontal="left" vertical="center" wrapText="1"/>
    </xf>
    <xf numFmtId="0" fontId="3" fillId="0" borderId="18" xfId="0" applyFont="1" applyBorder="1" applyAlignment="1">
      <alignment horizontal="left" vertical="center" wrapText="1"/>
    </xf>
    <xf numFmtId="0" fontId="3" fillId="0" borderId="142" xfId="0" applyFont="1" applyBorder="1" applyAlignment="1">
      <alignment horizontal="left" vertical="center" wrapText="1"/>
    </xf>
    <xf numFmtId="5" fontId="31" fillId="10" borderId="184" xfId="3" applyNumberFormat="1" applyFont="1" applyFill="1" applyBorder="1" applyAlignment="1" applyProtection="1">
      <alignment horizontal="center" vertical="center"/>
    </xf>
    <xf numFmtId="5" fontId="31" fillId="10" borderId="7" xfId="3" applyNumberFormat="1" applyFont="1" applyFill="1" applyBorder="1" applyAlignment="1" applyProtection="1">
      <alignment horizontal="center" vertical="center"/>
    </xf>
    <xf numFmtId="5" fontId="31" fillId="10" borderId="185" xfId="3" applyNumberFormat="1" applyFont="1" applyFill="1" applyBorder="1" applyAlignment="1" applyProtection="1">
      <alignment horizontal="center" vertical="center"/>
    </xf>
    <xf numFmtId="5" fontId="6" fillId="0" borderId="196" xfId="3" applyNumberFormat="1" applyFont="1" applyFill="1" applyBorder="1" applyAlignment="1" applyProtection="1">
      <alignment horizontal="center" vertical="center"/>
    </xf>
    <xf numFmtId="5" fontId="6" fillId="0" borderId="197" xfId="3" applyNumberFormat="1" applyFont="1" applyFill="1" applyBorder="1" applyAlignment="1" applyProtection="1">
      <alignment horizontal="center" vertical="center"/>
    </xf>
    <xf numFmtId="5" fontId="6" fillId="0" borderId="198" xfId="3" applyNumberFormat="1" applyFont="1" applyFill="1" applyBorder="1" applyAlignment="1" applyProtection="1">
      <alignment horizontal="center" vertical="center"/>
    </xf>
    <xf numFmtId="0" fontId="4" fillId="0" borderId="142" xfId="0" applyFont="1" applyBorder="1" applyAlignment="1">
      <alignment horizontal="left" vertical="center"/>
    </xf>
    <xf numFmtId="0" fontId="4" fillId="0" borderId="102" xfId="0" applyFont="1" applyBorder="1" applyAlignment="1">
      <alignment horizontal="left" vertical="center"/>
    </xf>
    <xf numFmtId="0" fontId="4" fillId="0" borderId="141" xfId="0" applyFont="1" applyBorder="1" applyAlignment="1">
      <alignment horizontal="left" vertical="center"/>
    </xf>
  </cellXfs>
  <cellStyles count="27">
    <cellStyle name="Comma" xfId="1" builtinId="3"/>
    <cellStyle name="Comma0" xfId="2"/>
    <cellStyle name="Comma0 2" xfId="19"/>
    <cellStyle name="Currency" xfId="3" builtinId="4"/>
    <cellStyle name="Currency0" xfId="4"/>
    <cellStyle name="Currency0 2" xfId="20"/>
    <cellStyle name="Date" xfId="5"/>
    <cellStyle name="Date 2" xfId="21"/>
    <cellStyle name="Fixed" xfId="6"/>
    <cellStyle name="Fixed 2" xfId="22"/>
    <cellStyle name="Grey" xfId="7"/>
    <cellStyle name="Heading 1" xfId="8" builtinId="16" customBuiltin="1"/>
    <cellStyle name="Heading 1 2" xfId="23"/>
    <cellStyle name="Heading 2" xfId="9" builtinId="17" customBuiltin="1"/>
    <cellStyle name="Heading 2 2" xfId="24"/>
    <cellStyle name="Hyperlink" xfId="10" builtinId="8"/>
    <cellStyle name="Input [yellow]" xfId="11"/>
    <cellStyle name="no dec" xfId="12"/>
    <cellStyle name="Normal" xfId="0" builtinId="0"/>
    <cellStyle name="Normal - Style1" xfId="13"/>
    <cellStyle name="Normal_Book1" xfId="14"/>
    <cellStyle name="Normal_Table of Contents" xfId="15"/>
    <cellStyle name="Percent" xfId="16" builtinId="5"/>
    <cellStyle name="Percent [2]" xfId="17"/>
    <cellStyle name="Percent [2] 2" xfId="25"/>
    <cellStyle name="Total" xfId="18" builtinId="25" customBuiltin="1"/>
    <cellStyle name="Total 2" xfId="26"/>
  </cellStyles>
  <dxfs count="122">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s>
  <tableStyles count="0" defaultTableStyle="TableStyleMedium9" defaultPivotStyle="PivotStyleLight16"/>
  <colors>
    <mruColors>
      <color rgb="FFFFFF99"/>
      <color rgb="FFCCFFCC"/>
      <color rgb="FFCCECFF"/>
      <color rgb="FF2609FB"/>
      <color rgb="FFFFFFCC"/>
      <color rgb="FF3333FF"/>
      <color rgb="FF1903BD"/>
      <color rgb="FFCCFF99"/>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Business Case Cost</a:t>
            </a:r>
          </a:p>
          <a:p>
            <a:pPr>
              <a:defRPr sz="1175" b="1" i="0" u="none" strike="noStrike" baseline="0">
                <a:solidFill>
                  <a:srgbClr val="000000"/>
                </a:solidFill>
                <a:latin typeface="Arial"/>
                <a:ea typeface="Arial"/>
                <a:cs typeface="Arial"/>
              </a:defRPr>
            </a:pPr>
            <a:r>
              <a:rPr lang="en-US"/>
              <a:t> vs. Benefits</a:t>
            </a:r>
          </a:p>
        </c:rich>
      </c:tx>
      <c:layout>
        <c:manualLayout>
          <c:xMode val="edge"/>
          <c:yMode val="edge"/>
          <c:x val="0.39010417279201515"/>
          <c:y val="2.1052368453943301E-2"/>
        </c:manualLayout>
      </c:layout>
      <c:overlay val="0"/>
      <c:spPr>
        <a:noFill/>
        <a:ln w="25400">
          <a:noFill/>
        </a:ln>
      </c:spPr>
    </c:title>
    <c:autoTitleDeleted val="0"/>
    <c:plotArea>
      <c:layout>
        <c:manualLayout>
          <c:layoutTarget val="inner"/>
          <c:xMode val="edge"/>
          <c:yMode val="edge"/>
          <c:x val="0.10303480357298148"/>
          <c:y val="0.13720346083499552"/>
          <c:w val="0.83191063625592065"/>
          <c:h val="0.69129436036092518"/>
        </c:manualLayout>
      </c:layout>
      <c:lineChart>
        <c:grouping val="standard"/>
        <c:varyColors val="0"/>
        <c:ser>
          <c:idx val="0"/>
          <c:order val="0"/>
          <c:tx>
            <c:strRef>
              <c:f>Financial_Analysis!$B$262</c:f>
              <c:strCache>
                <c:ptCount val="1"/>
                <c:pt idx="0">
                  <c:v>Business Case Cost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Financial_Analysis!$C$256:$L$256</c:f>
              <c:strCache>
                <c:ptCount val="10"/>
                <c:pt idx="0">
                  <c:v>Year 1</c:v>
                </c:pt>
                <c:pt idx="1">
                  <c:v>Year 2</c:v>
                </c:pt>
                <c:pt idx="2">
                  <c:v>Year 3</c:v>
                </c:pt>
                <c:pt idx="3">
                  <c:v>Year 4</c:v>
                </c:pt>
                <c:pt idx="4">
                  <c:v>Year 5</c:v>
                </c:pt>
                <c:pt idx="5">
                  <c:v>Year 6</c:v>
                </c:pt>
                <c:pt idx="6">
                  <c:v>Year 7</c:v>
                </c:pt>
                <c:pt idx="7">
                  <c:v>Year 8</c:v>
                </c:pt>
                <c:pt idx="8">
                  <c:v>Year 9</c:v>
                </c:pt>
                <c:pt idx="9">
                  <c:v>Year 10</c:v>
                </c:pt>
              </c:strCache>
            </c:strRef>
          </c:cat>
          <c:val>
            <c:numRef>
              <c:f>Financial_Analysis!$C$262:$L$262</c:f>
              <c:numCache>
                <c:formatCode>_("$"* #,##0_);_("$"* \(#,##0\);_("$"* "-"??_);_(@_)</c:formatCode>
                <c:ptCount val="10"/>
                <c:pt idx="0">
                  <c:v>-1134193.2991200001</c:v>
                </c:pt>
                <c:pt idx="1">
                  <c:v>-803304.08927999996</c:v>
                </c:pt>
                <c:pt idx="2">
                  <c:v>-549934.36</c:v>
                </c:pt>
                <c:pt idx="3">
                  <c:v>-549934.36</c:v>
                </c:pt>
                <c:pt idx="4">
                  <c:v>-102634.36</c:v>
                </c:pt>
                <c:pt idx="5">
                  <c:v>-102634.36</c:v>
                </c:pt>
                <c:pt idx="6">
                  <c:v>-102634.36</c:v>
                </c:pt>
                <c:pt idx="7">
                  <c:v>-102634.36</c:v>
                </c:pt>
                <c:pt idx="8">
                  <c:v>-102634.36</c:v>
                </c:pt>
                <c:pt idx="9">
                  <c:v>-102634.36</c:v>
                </c:pt>
              </c:numCache>
            </c:numRef>
          </c:val>
          <c:smooth val="0"/>
        </c:ser>
        <c:ser>
          <c:idx val="1"/>
          <c:order val="1"/>
          <c:tx>
            <c:strRef>
              <c:f>Financial_Analysis!$B$252</c:f>
              <c:strCache>
                <c:ptCount val="1"/>
                <c:pt idx="0">
                  <c:v>Agency Benefits</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strRef>
              <c:f>Financial_Analysis!$C$256:$L$256</c:f>
              <c:strCache>
                <c:ptCount val="10"/>
                <c:pt idx="0">
                  <c:v>Year 1</c:v>
                </c:pt>
                <c:pt idx="1">
                  <c:v>Year 2</c:v>
                </c:pt>
                <c:pt idx="2">
                  <c:v>Year 3</c:v>
                </c:pt>
                <c:pt idx="3">
                  <c:v>Year 4</c:v>
                </c:pt>
                <c:pt idx="4">
                  <c:v>Year 5</c:v>
                </c:pt>
                <c:pt idx="5">
                  <c:v>Year 6</c:v>
                </c:pt>
                <c:pt idx="6">
                  <c:v>Year 7</c:v>
                </c:pt>
                <c:pt idx="7">
                  <c:v>Year 8</c:v>
                </c:pt>
                <c:pt idx="8">
                  <c:v>Year 9</c:v>
                </c:pt>
                <c:pt idx="9">
                  <c:v>Year 10</c:v>
                </c:pt>
              </c:strCache>
            </c:strRef>
          </c:cat>
          <c:val>
            <c:numRef>
              <c:f>Financial_Analysis!$C$252:$L$252</c:f>
              <c:numCache>
                <c:formatCode>_("$"* #,##0_);_("$"* \(#,##0\);_("$"* "-"??_);_(@_)</c:formatCode>
                <c:ptCount val="10"/>
                <c:pt idx="0">
                  <c:v>0</c:v>
                </c:pt>
                <c:pt idx="1">
                  <c:v>0</c:v>
                </c:pt>
                <c:pt idx="2">
                  <c:v>17100000</c:v>
                </c:pt>
                <c:pt idx="3">
                  <c:v>17100000</c:v>
                </c:pt>
                <c:pt idx="4">
                  <c:v>17100000</c:v>
                </c:pt>
                <c:pt idx="5">
                  <c:v>17100000</c:v>
                </c:pt>
                <c:pt idx="6">
                  <c:v>17100000</c:v>
                </c:pt>
                <c:pt idx="7">
                  <c:v>17100000</c:v>
                </c:pt>
                <c:pt idx="8">
                  <c:v>17100000</c:v>
                </c:pt>
                <c:pt idx="9">
                  <c:v>17100000</c:v>
                </c:pt>
              </c:numCache>
            </c:numRef>
          </c:val>
          <c:smooth val="0"/>
        </c:ser>
        <c:ser>
          <c:idx val="2"/>
          <c:order val="2"/>
          <c:tx>
            <c:strRef>
              <c:f>Financial_Analysis!$B$258</c:f>
              <c:strCache>
                <c:ptCount val="1"/>
                <c:pt idx="0">
                  <c:v>Constituent Benefits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strRef>
              <c:f>Financial_Analysis!$C$256:$L$256</c:f>
              <c:strCache>
                <c:ptCount val="10"/>
                <c:pt idx="0">
                  <c:v>Year 1</c:v>
                </c:pt>
                <c:pt idx="1">
                  <c:v>Year 2</c:v>
                </c:pt>
                <c:pt idx="2">
                  <c:v>Year 3</c:v>
                </c:pt>
                <c:pt idx="3">
                  <c:v>Year 4</c:v>
                </c:pt>
                <c:pt idx="4">
                  <c:v>Year 5</c:v>
                </c:pt>
                <c:pt idx="5">
                  <c:v>Year 6</c:v>
                </c:pt>
                <c:pt idx="6">
                  <c:v>Year 7</c:v>
                </c:pt>
                <c:pt idx="7">
                  <c:v>Year 8</c:v>
                </c:pt>
                <c:pt idx="8">
                  <c:v>Year 9</c:v>
                </c:pt>
                <c:pt idx="9">
                  <c:v>Year 10</c:v>
                </c:pt>
              </c:strCache>
            </c:strRef>
          </c:cat>
          <c:val>
            <c:numRef>
              <c:f>Financial_Analysis!$C$258:$L$258</c:f>
              <c:numCache>
                <c:formatCode>_("$"* #,##0_);_("$"* \(#,##0\);_("$"* "-"??_);_(@_)</c:formatCode>
                <c:ptCount val="10"/>
                <c:pt idx="0">
                  <c:v>0</c:v>
                </c:pt>
                <c:pt idx="1">
                  <c:v>0</c:v>
                </c:pt>
                <c:pt idx="2">
                  <c:v>75927884.615384623</c:v>
                </c:pt>
                <c:pt idx="3">
                  <c:v>75927884.615384623</c:v>
                </c:pt>
                <c:pt idx="4">
                  <c:v>75927884.615384623</c:v>
                </c:pt>
                <c:pt idx="5">
                  <c:v>75927884.615384623</c:v>
                </c:pt>
                <c:pt idx="6">
                  <c:v>75927884.615384623</c:v>
                </c:pt>
                <c:pt idx="7">
                  <c:v>75927884.615384623</c:v>
                </c:pt>
                <c:pt idx="8">
                  <c:v>75927884.615384623</c:v>
                </c:pt>
                <c:pt idx="9">
                  <c:v>75927884.615384623</c:v>
                </c:pt>
              </c:numCache>
            </c:numRef>
          </c:val>
          <c:smooth val="0"/>
        </c:ser>
        <c:dLbls>
          <c:showLegendKey val="0"/>
          <c:showVal val="0"/>
          <c:showCatName val="0"/>
          <c:showSerName val="0"/>
          <c:showPercent val="0"/>
          <c:showBubbleSize val="0"/>
        </c:dLbls>
        <c:marker val="1"/>
        <c:smooth val="0"/>
        <c:axId val="75451008"/>
        <c:axId val="75453568"/>
      </c:lineChart>
      <c:catAx>
        <c:axId val="75451008"/>
        <c:scaling>
          <c:orientation val="minMax"/>
        </c:scaling>
        <c:delete val="0"/>
        <c:axPos val="b"/>
        <c:title>
          <c:tx>
            <c:rich>
              <a:bodyPr/>
              <a:lstStyle/>
              <a:p>
                <a:pPr>
                  <a:defRPr sz="1075" b="1" i="0" u="none" strike="noStrike" baseline="0">
                    <a:solidFill>
                      <a:srgbClr val="000000"/>
                    </a:solidFill>
                    <a:latin typeface="Arial"/>
                    <a:ea typeface="Arial"/>
                    <a:cs typeface="Arial"/>
                  </a:defRPr>
                </a:pPr>
                <a:r>
                  <a:rPr lang="en-US"/>
                  <a:t>Fiscal Year</a:t>
                </a:r>
              </a:p>
            </c:rich>
          </c:tx>
          <c:layout>
            <c:manualLayout>
              <c:xMode val="edge"/>
              <c:yMode val="edge"/>
              <c:x val="0.44139596618863702"/>
              <c:y val="0.8944610605844816"/>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75453568"/>
        <c:crosses val="autoZero"/>
        <c:auto val="1"/>
        <c:lblAlgn val="ctr"/>
        <c:lblOffset val="100"/>
        <c:tickLblSkip val="1"/>
        <c:tickMarkSkip val="1"/>
        <c:noMultiLvlLbl val="0"/>
      </c:catAx>
      <c:valAx>
        <c:axId val="7545356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Dollars</a:t>
                </a:r>
              </a:p>
            </c:rich>
          </c:tx>
          <c:layout>
            <c:manualLayout>
              <c:xMode val="edge"/>
              <c:yMode val="edge"/>
              <c:x val="2.2896586595877035E-2"/>
              <c:y val="0.41952593135161037"/>
            </c:manualLayout>
          </c:layout>
          <c:overlay val="0"/>
          <c:spPr>
            <a:noFill/>
            <a:ln w="25400">
              <a:noFill/>
            </a:ln>
          </c:spPr>
        </c:title>
        <c:numFmt formatCode="_(&quot;$&quot;* #,##0_);_(&quot;$&quot;* \(#,##0\);_(&quot;$&quot;* &quot;-&quot;??_);_(@_)"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5451008"/>
        <c:crosses val="autoZero"/>
        <c:crossBetween val="between"/>
      </c:valAx>
      <c:spPr>
        <a:solidFill>
          <a:schemeClr val="bg1">
            <a:lumMod val="85000"/>
          </a:schemeClr>
        </a:solidFill>
        <a:ln w="12700">
          <a:solidFill>
            <a:srgbClr val="808080"/>
          </a:solidFill>
          <a:prstDash val="solid"/>
        </a:ln>
      </c:spPr>
    </c:plotArea>
    <c:legend>
      <c:legendPos val="r"/>
      <c:legendEntry>
        <c:idx val="0"/>
        <c:txPr>
          <a:bodyPr/>
          <a:lstStyle/>
          <a:p>
            <a:pPr>
              <a:defRPr sz="825" b="0" i="0" u="none" strike="noStrike" baseline="0">
                <a:solidFill>
                  <a:srgbClr val="000000"/>
                </a:solidFill>
                <a:latin typeface="Arial"/>
                <a:ea typeface="Arial"/>
                <a:cs typeface="Arial"/>
              </a:defRPr>
            </a:pPr>
            <a:endParaRPr lang="en-US"/>
          </a:p>
        </c:txPr>
      </c:legendEntry>
      <c:legendEntry>
        <c:idx val="1"/>
        <c:txPr>
          <a:bodyPr/>
          <a:lstStyle/>
          <a:p>
            <a:pPr>
              <a:defRPr sz="825" b="0" i="0" u="none" strike="noStrike" baseline="0">
                <a:solidFill>
                  <a:srgbClr val="000000"/>
                </a:solidFill>
                <a:latin typeface="Arial"/>
                <a:ea typeface="Arial"/>
                <a:cs typeface="Arial"/>
              </a:defRPr>
            </a:pPr>
            <a:endParaRPr lang="en-US"/>
          </a:p>
        </c:txPr>
      </c:legendEntry>
      <c:legendEntry>
        <c:idx val="2"/>
        <c:txPr>
          <a:bodyPr/>
          <a:lstStyle/>
          <a:p>
            <a:pPr>
              <a:defRPr sz="825" b="0" i="0" u="none" strike="noStrike" baseline="0">
                <a:solidFill>
                  <a:srgbClr val="000000"/>
                </a:solidFill>
                <a:latin typeface="Arial"/>
                <a:ea typeface="Arial"/>
                <a:cs typeface="Arial"/>
              </a:defRPr>
            </a:pPr>
            <a:endParaRPr lang="en-US"/>
          </a:p>
        </c:txPr>
      </c:legendEntry>
      <c:layout>
        <c:manualLayout>
          <c:xMode val="edge"/>
          <c:yMode val="edge"/>
          <c:x val="0.76576483072695767"/>
          <c:y val="0.71240269384931532"/>
          <c:w val="0.22896626514841723"/>
          <c:h val="0.23219054982468268"/>
        </c:manualLayout>
      </c:layout>
      <c:overlay val="0"/>
      <c:spPr>
        <a:solidFill>
          <a:schemeClr val="bg1"/>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oddFooter>&amp;L&amp;10Based on DIR Document 10BC-W1-9&amp;C&amp;"Arial,Bold"&amp;18POSTED FOR REVIEW&amp;"Arial,Regular"&amp;10
Page &amp;P of &amp;N&amp;R&amp;10Business Justification</c:oddFooter>
    </c:headerFooter>
    <c:pageMargins b="1" l="0.75000000000000688" r="0.75000000000000688"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en-US"/>
              <a:t>Financial Analysis (Agency/State)</a:t>
            </a:r>
          </a:p>
        </c:rich>
      </c:tx>
      <c:layout>
        <c:manualLayout>
          <c:xMode val="edge"/>
          <c:yMode val="edge"/>
          <c:x val="0.35356067382963657"/>
          <c:y val="4.2216389617964416E-2"/>
        </c:manualLayout>
      </c:layout>
      <c:overlay val="0"/>
      <c:spPr>
        <a:noFill/>
        <a:ln w="25400">
          <a:noFill/>
        </a:ln>
      </c:spPr>
    </c:title>
    <c:autoTitleDeleted val="0"/>
    <c:plotArea>
      <c:layout>
        <c:manualLayout>
          <c:layoutTarget val="inner"/>
          <c:xMode val="edge"/>
          <c:yMode val="edge"/>
          <c:x val="0.10244513728584378"/>
          <c:y val="0.1292878765560509"/>
          <c:w val="0.82955574582683256"/>
          <c:h val="0.69129436036092518"/>
        </c:manualLayout>
      </c:layout>
      <c:barChart>
        <c:barDir val="col"/>
        <c:grouping val="clustered"/>
        <c:varyColors val="0"/>
        <c:ser>
          <c:idx val="0"/>
          <c:order val="0"/>
          <c:tx>
            <c:strRef>
              <c:f>Financial_Analysis!$B$251</c:f>
              <c:strCache>
                <c:ptCount val="1"/>
                <c:pt idx="0">
                  <c:v>Business Case Cost</c:v>
                </c:pt>
              </c:strCache>
            </c:strRef>
          </c:tx>
          <c:spPr>
            <a:solidFill>
              <a:srgbClr val="9999FF"/>
            </a:solidFill>
            <a:ln w="12700">
              <a:solidFill>
                <a:srgbClr val="000000"/>
              </a:solidFill>
              <a:prstDash val="solid"/>
            </a:ln>
          </c:spPr>
          <c:invertIfNegative val="0"/>
          <c:cat>
            <c:strRef>
              <c:f>Financial_Analysis!$C$250:$L$250</c:f>
              <c:strCache>
                <c:ptCount val="10"/>
                <c:pt idx="0">
                  <c:v>Year 1</c:v>
                </c:pt>
                <c:pt idx="1">
                  <c:v>Year 2</c:v>
                </c:pt>
                <c:pt idx="2">
                  <c:v>Year 3</c:v>
                </c:pt>
                <c:pt idx="3">
                  <c:v>Year 4</c:v>
                </c:pt>
                <c:pt idx="4">
                  <c:v>Year 5</c:v>
                </c:pt>
                <c:pt idx="5">
                  <c:v>Year 6</c:v>
                </c:pt>
                <c:pt idx="6">
                  <c:v>Year 7</c:v>
                </c:pt>
                <c:pt idx="7">
                  <c:v>Year 8</c:v>
                </c:pt>
                <c:pt idx="8">
                  <c:v>Year 9</c:v>
                </c:pt>
                <c:pt idx="9">
                  <c:v>Year 10</c:v>
                </c:pt>
              </c:strCache>
            </c:strRef>
          </c:cat>
          <c:val>
            <c:numRef>
              <c:f>Financial_Analysis!$C$251:$L$251</c:f>
              <c:numCache>
                <c:formatCode>_("$"* #,##0_);_("$"* \(#,##0\);_("$"* "-"??_);_(@_)</c:formatCode>
                <c:ptCount val="10"/>
                <c:pt idx="0">
                  <c:v>-1134193.2991200001</c:v>
                </c:pt>
                <c:pt idx="1">
                  <c:v>-803304.08927999996</c:v>
                </c:pt>
                <c:pt idx="2">
                  <c:v>-549934.36</c:v>
                </c:pt>
                <c:pt idx="3">
                  <c:v>-549934.36</c:v>
                </c:pt>
                <c:pt idx="4">
                  <c:v>-102634.36</c:v>
                </c:pt>
                <c:pt idx="5">
                  <c:v>-102634.36</c:v>
                </c:pt>
                <c:pt idx="6">
                  <c:v>-102634.36</c:v>
                </c:pt>
                <c:pt idx="7">
                  <c:v>-102634.36</c:v>
                </c:pt>
                <c:pt idx="8">
                  <c:v>-102634.36</c:v>
                </c:pt>
                <c:pt idx="9">
                  <c:v>-102634.36</c:v>
                </c:pt>
              </c:numCache>
            </c:numRef>
          </c:val>
        </c:ser>
        <c:ser>
          <c:idx val="1"/>
          <c:order val="1"/>
          <c:tx>
            <c:strRef>
              <c:f>Financial_Analysis!$B$252</c:f>
              <c:strCache>
                <c:ptCount val="1"/>
                <c:pt idx="0">
                  <c:v>Agency Benefits</c:v>
                </c:pt>
              </c:strCache>
            </c:strRef>
          </c:tx>
          <c:spPr>
            <a:solidFill>
              <a:srgbClr val="993366"/>
            </a:solidFill>
            <a:ln w="12700">
              <a:solidFill>
                <a:srgbClr val="000000"/>
              </a:solidFill>
              <a:prstDash val="solid"/>
            </a:ln>
          </c:spPr>
          <c:invertIfNegative val="0"/>
          <c:cat>
            <c:strRef>
              <c:f>Financial_Analysis!$C$250:$L$250</c:f>
              <c:strCache>
                <c:ptCount val="10"/>
                <c:pt idx="0">
                  <c:v>Year 1</c:v>
                </c:pt>
                <c:pt idx="1">
                  <c:v>Year 2</c:v>
                </c:pt>
                <c:pt idx="2">
                  <c:v>Year 3</c:v>
                </c:pt>
                <c:pt idx="3">
                  <c:v>Year 4</c:v>
                </c:pt>
                <c:pt idx="4">
                  <c:v>Year 5</c:v>
                </c:pt>
                <c:pt idx="5">
                  <c:v>Year 6</c:v>
                </c:pt>
                <c:pt idx="6">
                  <c:v>Year 7</c:v>
                </c:pt>
                <c:pt idx="7">
                  <c:v>Year 8</c:v>
                </c:pt>
                <c:pt idx="8">
                  <c:v>Year 9</c:v>
                </c:pt>
                <c:pt idx="9">
                  <c:v>Year 10</c:v>
                </c:pt>
              </c:strCache>
            </c:strRef>
          </c:cat>
          <c:val>
            <c:numRef>
              <c:f>Financial_Analysis!$C$252:$L$252</c:f>
              <c:numCache>
                <c:formatCode>_("$"* #,##0_);_("$"* \(#,##0\);_("$"* "-"??_);_(@_)</c:formatCode>
                <c:ptCount val="10"/>
                <c:pt idx="0">
                  <c:v>0</c:v>
                </c:pt>
                <c:pt idx="1">
                  <c:v>0</c:v>
                </c:pt>
                <c:pt idx="2">
                  <c:v>17100000</c:v>
                </c:pt>
                <c:pt idx="3">
                  <c:v>17100000</c:v>
                </c:pt>
                <c:pt idx="4">
                  <c:v>17100000</c:v>
                </c:pt>
                <c:pt idx="5">
                  <c:v>17100000</c:v>
                </c:pt>
                <c:pt idx="6">
                  <c:v>17100000</c:v>
                </c:pt>
                <c:pt idx="7">
                  <c:v>17100000</c:v>
                </c:pt>
                <c:pt idx="8">
                  <c:v>17100000</c:v>
                </c:pt>
                <c:pt idx="9">
                  <c:v>17100000</c:v>
                </c:pt>
              </c:numCache>
            </c:numRef>
          </c:val>
        </c:ser>
        <c:ser>
          <c:idx val="2"/>
          <c:order val="2"/>
          <c:tx>
            <c:strRef>
              <c:f>Financial_Analysis!$B$253</c:f>
              <c:strCache>
                <c:ptCount val="1"/>
                <c:pt idx="0">
                  <c:v>Net Cash Flow</c:v>
                </c:pt>
              </c:strCache>
            </c:strRef>
          </c:tx>
          <c:spPr>
            <a:solidFill>
              <a:srgbClr val="FFFFCC"/>
            </a:solidFill>
            <a:ln w="12700">
              <a:solidFill>
                <a:srgbClr val="000000"/>
              </a:solidFill>
              <a:prstDash val="solid"/>
            </a:ln>
          </c:spPr>
          <c:invertIfNegative val="0"/>
          <c:cat>
            <c:strRef>
              <c:f>Financial_Analysis!$C$250:$L$250</c:f>
              <c:strCache>
                <c:ptCount val="10"/>
                <c:pt idx="0">
                  <c:v>Year 1</c:v>
                </c:pt>
                <c:pt idx="1">
                  <c:v>Year 2</c:v>
                </c:pt>
                <c:pt idx="2">
                  <c:v>Year 3</c:v>
                </c:pt>
                <c:pt idx="3">
                  <c:v>Year 4</c:v>
                </c:pt>
                <c:pt idx="4">
                  <c:v>Year 5</c:v>
                </c:pt>
                <c:pt idx="5">
                  <c:v>Year 6</c:v>
                </c:pt>
                <c:pt idx="6">
                  <c:v>Year 7</c:v>
                </c:pt>
                <c:pt idx="7">
                  <c:v>Year 8</c:v>
                </c:pt>
                <c:pt idx="8">
                  <c:v>Year 9</c:v>
                </c:pt>
                <c:pt idx="9">
                  <c:v>Year 10</c:v>
                </c:pt>
              </c:strCache>
            </c:strRef>
          </c:cat>
          <c:val>
            <c:numRef>
              <c:f>Financial_Analysis!$C$253:$L$253</c:f>
              <c:numCache>
                <c:formatCode>_("$"* #,##0_);_("$"* \(#,##0\);_("$"* "-"??_);_(@_)</c:formatCode>
                <c:ptCount val="10"/>
                <c:pt idx="0">
                  <c:v>-1134193.2991200001</c:v>
                </c:pt>
                <c:pt idx="1">
                  <c:v>-803304.08927999996</c:v>
                </c:pt>
                <c:pt idx="2">
                  <c:v>16550065.640000001</c:v>
                </c:pt>
                <c:pt idx="3">
                  <c:v>16550065.640000001</c:v>
                </c:pt>
                <c:pt idx="4">
                  <c:v>16997365.640000001</c:v>
                </c:pt>
                <c:pt idx="5">
                  <c:v>16997365.640000001</c:v>
                </c:pt>
                <c:pt idx="6">
                  <c:v>16997365.640000001</c:v>
                </c:pt>
                <c:pt idx="7">
                  <c:v>16997365.640000001</c:v>
                </c:pt>
                <c:pt idx="8">
                  <c:v>16997365.640000001</c:v>
                </c:pt>
                <c:pt idx="9">
                  <c:v>16997365.640000001</c:v>
                </c:pt>
              </c:numCache>
            </c:numRef>
          </c:val>
        </c:ser>
        <c:ser>
          <c:idx val="3"/>
          <c:order val="3"/>
          <c:tx>
            <c:strRef>
              <c:f>Financial_Analysis!$B$254</c:f>
              <c:strCache>
                <c:ptCount val="1"/>
                <c:pt idx="0">
                  <c:v>Cumulative Net Cash Flow</c:v>
                </c:pt>
              </c:strCache>
            </c:strRef>
          </c:tx>
          <c:spPr>
            <a:solidFill>
              <a:srgbClr val="CCFFFF"/>
            </a:solidFill>
            <a:ln w="12700">
              <a:solidFill>
                <a:srgbClr val="000000"/>
              </a:solidFill>
              <a:prstDash val="solid"/>
            </a:ln>
          </c:spPr>
          <c:invertIfNegative val="0"/>
          <c:cat>
            <c:strRef>
              <c:f>Financial_Analysis!$C$250:$L$250</c:f>
              <c:strCache>
                <c:ptCount val="10"/>
                <c:pt idx="0">
                  <c:v>Year 1</c:v>
                </c:pt>
                <c:pt idx="1">
                  <c:v>Year 2</c:v>
                </c:pt>
                <c:pt idx="2">
                  <c:v>Year 3</c:v>
                </c:pt>
                <c:pt idx="3">
                  <c:v>Year 4</c:v>
                </c:pt>
                <c:pt idx="4">
                  <c:v>Year 5</c:v>
                </c:pt>
                <c:pt idx="5">
                  <c:v>Year 6</c:v>
                </c:pt>
                <c:pt idx="6">
                  <c:v>Year 7</c:v>
                </c:pt>
                <c:pt idx="7">
                  <c:v>Year 8</c:v>
                </c:pt>
                <c:pt idx="8">
                  <c:v>Year 9</c:v>
                </c:pt>
                <c:pt idx="9">
                  <c:v>Year 10</c:v>
                </c:pt>
              </c:strCache>
            </c:strRef>
          </c:cat>
          <c:val>
            <c:numRef>
              <c:f>Financial_Analysis!$C$254:$L$254</c:f>
              <c:numCache>
                <c:formatCode>_("$"* #,##0_);_("$"* \(#,##0\);_("$"* "-"??_);_(@_)</c:formatCode>
                <c:ptCount val="10"/>
                <c:pt idx="0">
                  <c:v>-1134193.2991200001</c:v>
                </c:pt>
                <c:pt idx="1">
                  <c:v>-1937497.3884000001</c:v>
                </c:pt>
                <c:pt idx="2">
                  <c:v>14612568.251600001</c:v>
                </c:pt>
                <c:pt idx="3">
                  <c:v>31162633.891600002</c:v>
                </c:pt>
                <c:pt idx="4">
                  <c:v>48159999.531599998</c:v>
                </c:pt>
                <c:pt idx="5">
                  <c:v>65157365.171599999</c:v>
                </c:pt>
                <c:pt idx="6">
                  <c:v>82154730.8116</c:v>
                </c:pt>
                <c:pt idx="7">
                  <c:v>99152096.4516</c:v>
                </c:pt>
                <c:pt idx="8">
                  <c:v>116149462.0916</c:v>
                </c:pt>
                <c:pt idx="9">
                  <c:v>133146827.7316</c:v>
                </c:pt>
              </c:numCache>
            </c:numRef>
          </c:val>
        </c:ser>
        <c:dLbls>
          <c:showLegendKey val="0"/>
          <c:showVal val="0"/>
          <c:showCatName val="0"/>
          <c:showSerName val="0"/>
          <c:showPercent val="0"/>
          <c:showBubbleSize val="0"/>
        </c:dLbls>
        <c:gapWidth val="150"/>
        <c:axId val="77165696"/>
        <c:axId val="77167616"/>
      </c:barChart>
      <c:catAx>
        <c:axId val="77165696"/>
        <c:scaling>
          <c:orientation val="minMax"/>
        </c:scaling>
        <c:delete val="0"/>
        <c:axPos val="b"/>
        <c:title>
          <c:tx>
            <c:rich>
              <a:bodyPr/>
              <a:lstStyle/>
              <a:p>
                <a:pPr>
                  <a:defRPr sz="1075" b="1" i="0" u="none" strike="noStrike" baseline="0">
                    <a:solidFill>
                      <a:srgbClr val="000000"/>
                    </a:solidFill>
                    <a:latin typeface="Arial"/>
                    <a:ea typeface="Arial"/>
                    <a:cs typeface="Arial"/>
                  </a:defRPr>
                </a:pPr>
                <a:r>
                  <a:rPr lang="en-US"/>
                  <a:t>Fiscal Year</a:t>
                </a:r>
              </a:p>
            </c:rich>
          </c:tx>
          <c:layout>
            <c:manualLayout>
              <c:xMode val="edge"/>
              <c:yMode val="edge"/>
              <c:x val="0.46600043908369138"/>
              <c:y val="0.8918225531886036"/>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77167616"/>
        <c:crosses val="autoZero"/>
        <c:auto val="1"/>
        <c:lblAlgn val="ctr"/>
        <c:lblOffset val="100"/>
        <c:tickLblSkip val="1"/>
        <c:tickMarkSkip val="1"/>
        <c:noMultiLvlLbl val="0"/>
      </c:catAx>
      <c:valAx>
        <c:axId val="77167616"/>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Dollars</a:t>
                </a:r>
              </a:p>
            </c:rich>
          </c:tx>
          <c:layout>
            <c:manualLayout>
              <c:xMode val="edge"/>
              <c:yMode val="edge"/>
              <c:x val="2.2487900622909819E-2"/>
              <c:y val="0.40633339437221538"/>
            </c:manualLayout>
          </c:layout>
          <c:overlay val="0"/>
          <c:spPr>
            <a:noFill/>
            <a:ln w="25400">
              <a:noFill/>
            </a:ln>
          </c:spPr>
        </c:title>
        <c:numFmt formatCode="_(&quot;$&quot;* #,##0_);_(&quot;$&quot;* \(#,##0\);_(&quot;$&quot;* &quot;-&quot;??_);_(@_)"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165696"/>
        <c:crosses val="autoZero"/>
        <c:crossBetween val="between"/>
      </c:valAx>
      <c:spPr>
        <a:solidFill>
          <a:schemeClr val="bg1">
            <a:lumMod val="85000"/>
          </a:schemeClr>
        </a:solidFill>
        <a:ln w="12700">
          <a:solidFill>
            <a:srgbClr val="808080"/>
          </a:solidFill>
          <a:prstDash val="solid"/>
        </a:ln>
      </c:spPr>
    </c:plotArea>
    <c:legend>
      <c:legendPos val="r"/>
      <c:layout>
        <c:manualLayout>
          <c:xMode val="edge"/>
          <c:yMode val="edge"/>
          <c:x val="0.77333582365875886"/>
          <c:y val="0.6965713781901296"/>
          <c:w val="0.22113159076089273"/>
          <c:h val="0.23746756461644028"/>
        </c:manualLayout>
      </c:layout>
      <c:overlay val="0"/>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legend>
    <c:plotVisOnly val="1"/>
    <c:dispBlanksAs val="gap"/>
    <c:showDLblsOverMax val="0"/>
  </c:chart>
  <c:spPr>
    <a:no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542925</xdr:colOff>
      <xdr:row>31</xdr:row>
      <xdr:rowOff>123825</xdr:rowOff>
    </xdr:from>
    <xdr:to>
      <xdr:col>14</xdr:col>
      <xdr:colOff>38100</xdr:colOff>
      <xdr:row>52</xdr:row>
      <xdr:rowOff>9525</xdr:rowOff>
    </xdr:to>
    <xdr:graphicFrame macro="">
      <xdr:nvGraphicFramePr>
        <xdr:cNvPr id="7182"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31</xdr:row>
      <xdr:rowOff>123825</xdr:rowOff>
    </xdr:from>
    <xdr:to>
      <xdr:col>5</xdr:col>
      <xdr:colOff>485775</xdr:colOff>
      <xdr:row>52</xdr:row>
      <xdr:rowOff>9525</xdr:rowOff>
    </xdr:to>
    <xdr:graphicFrame macro="">
      <xdr:nvGraphicFramePr>
        <xdr:cNvPr id="7183"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dir.texas.gov/Documents%20and%20Settings/Regina/My%20Documents/Work/DIR/ROI/FinancialMetricsLi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CashFlow"/>
      <sheetName val="CumulativeCF"/>
      <sheetName val="Payback"/>
      <sheetName val="ROI"/>
      <sheetName val="IRR"/>
      <sheetName val="NPV"/>
    </sheetNames>
    <sheetDataSet>
      <sheetData sheetId="0">
        <row r="46">
          <cell r="J46" t="str">
            <v>$</v>
          </cell>
        </row>
      </sheetData>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4"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9"/>
    <pageSetUpPr autoPageBreaks="0" fitToPage="1"/>
  </sheetPr>
  <dimension ref="A1:D166"/>
  <sheetViews>
    <sheetView showGridLines="0" zoomScaleNormal="100" zoomScaleSheetLayoutView="80" workbookViewId="0">
      <pane ySplit="1" topLeftCell="A2" activePane="bottomLeft" state="frozen"/>
      <selection activeCell="P44" sqref="P44"/>
      <selection pane="bottomLeft" activeCell="A4" sqref="A4:D4"/>
    </sheetView>
  </sheetViews>
  <sheetFormatPr defaultColWidth="9" defaultRowHeight="12.75" x14ac:dyDescent="0.2"/>
  <cols>
    <col min="1" max="1" width="8.75" style="664" customWidth="1"/>
    <col min="2" max="2" width="15.25" style="53" customWidth="1"/>
    <col min="3" max="3" width="35" style="53" customWidth="1"/>
    <col min="4" max="4" width="101.875" style="22" customWidth="1"/>
    <col min="5" max="16384" width="9" style="53"/>
  </cols>
  <sheetData>
    <row r="1" spans="1:4" s="3" customFormat="1" ht="20.25" x14ac:dyDescent="0.2">
      <c r="A1" s="5" t="s">
        <v>732</v>
      </c>
      <c r="B1" s="5"/>
      <c r="C1" s="5"/>
      <c r="D1" s="14"/>
    </row>
    <row r="2" spans="1:4" s="333" customFormat="1" ht="35.1" customHeight="1" x14ac:dyDescent="0.2">
      <c r="A2" s="791" t="s">
        <v>413</v>
      </c>
      <c r="B2" s="791"/>
      <c r="C2" s="791"/>
      <c r="D2" s="791"/>
    </row>
    <row r="3" spans="1:4" s="333" customFormat="1" ht="39" customHeight="1" x14ac:dyDescent="0.2">
      <c r="A3" s="791" t="s">
        <v>656</v>
      </c>
      <c r="B3" s="791"/>
      <c r="C3" s="791"/>
      <c r="D3" s="791"/>
    </row>
    <row r="4" spans="1:4" s="333" customFormat="1" ht="46.5" customHeight="1" x14ac:dyDescent="0.2">
      <c r="A4" s="791" t="s">
        <v>459</v>
      </c>
      <c r="B4" s="791"/>
      <c r="C4" s="791"/>
      <c r="D4" s="791"/>
    </row>
    <row r="5" spans="1:4" s="333" customFormat="1" ht="35.1" customHeight="1" x14ac:dyDescent="0.2">
      <c r="A5" s="791" t="s">
        <v>414</v>
      </c>
      <c r="B5" s="791"/>
      <c r="C5" s="791"/>
      <c r="D5" s="791"/>
    </row>
    <row r="6" spans="1:4" s="333" customFormat="1" ht="24.75" customHeight="1" x14ac:dyDescent="0.2">
      <c r="A6" s="791" t="s">
        <v>415</v>
      </c>
      <c r="B6" s="791"/>
      <c r="C6" s="791"/>
      <c r="D6" s="791"/>
    </row>
    <row r="7" spans="1:4" s="3" customFormat="1" ht="23.25" customHeight="1" x14ac:dyDescent="0.2">
      <c r="A7" s="5"/>
      <c r="B7" s="340"/>
      <c r="C7" s="340"/>
      <c r="D7" s="341"/>
    </row>
    <row r="8" spans="1:4" s="3" customFormat="1" ht="30" customHeight="1" x14ac:dyDescent="0.2">
      <c r="A8" s="5" t="s">
        <v>108</v>
      </c>
      <c r="B8" s="190"/>
      <c r="C8" s="190"/>
      <c r="D8" s="14"/>
    </row>
    <row r="9" spans="1:4" s="3" customFormat="1" ht="27" customHeight="1" x14ac:dyDescent="0.2">
      <c r="A9" s="342" t="s">
        <v>240</v>
      </c>
      <c r="B9" s="343"/>
      <c r="C9" s="738" t="s">
        <v>654</v>
      </c>
      <c r="D9" s="739"/>
    </row>
    <row r="10" spans="1:4" s="3" customFormat="1" ht="27" customHeight="1" x14ac:dyDescent="0.2">
      <c r="A10" s="344" t="s">
        <v>241</v>
      </c>
      <c r="B10" s="345"/>
      <c r="C10" s="740" t="s">
        <v>428</v>
      </c>
      <c r="D10" s="741"/>
    </row>
    <row r="11" spans="1:4" s="704" customFormat="1" ht="27" customHeight="1" x14ac:dyDescent="0.2">
      <c r="A11" s="705" t="s">
        <v>345</v>
      </c>
      <c r="B11" s="706"/>
      <c r="C11" s="742" t="s">
        <v>427</v>
      </c>
      <c r="D11" s="742"/>
    </row>
    <row r="12" spans="1:4" s="704" customFormat="1" ht="27" customHeight="1" x14ac:dyDescent="0.2">
      <c r="A12" s="705" t="s">
        <v>347</v>
      </c>
      <c r="B12" s="707"/>
      <c r="C12" s="737" t="s">
        <v>655</v>
      </c>
      <c r="D12" s="737"/>
    </row>
    <row r="13" spans="1:4" s="704" customFormat="1" ht="27" customHeight="1" x14ac:dyDescent="0.2">
      <c r="A13" s="705" t="s">
        <v>174</v>
      </c>
      <c r="B13" s="707"/>
      <c r="C13" s="737" t="s">
        <v>416</v>
      </c>
      <c r="D13" s="737"/>
    </row>
    <row r="14" spans="1:4" s="704" customFormat="1" ht="27" customHeight="1" x14ac:dyDescent="0.2">
      <c r="A14" s="708" t="s">
        <v>456</v>
      </c>
      <c r="B14" s="709"/>
      <c r="C14" s="737" t="s">
        <v>457</v>
      </c>
      <c r="D14" s="737"/>
    </row>
    <row r="15" spans="1:4" s="704" customFormat="1" ht="86.25" customHeight="1" x14ac:dyDescent="0.2">
      <c r="A15" s="708" t="s">
        <v>514</v>
      </c>
      <c r="B15" s="709"/>
      <c r="C15" s="737" t="s">
        <v>653</v>
      </c>
      <c r="D15" s="737"/>
    </row>
    <row r="16" spans="1:4" s="704" customFormat="1" ht="83.25" customHeight="1" x14ac:dyDescent="0.2">
      <c r="A16" s="708" t="s">
        <v>515</v>
      </c>
      <c r="B16" s="709"/>
      <c r="C16" s="737" t="s">
        <v>650</v>
      </c>
      <c r="D16" s="737"/>
    </row>
    <row r="17" spans="1:4" s="704" customFormat="1" ht="31.9" customHeight="1" x14ac:dyDescent="0.2">
      <c r="A17" s="712" t="s">
        <v>665</v>
      </c>
      <c r="B17" s="713"/>
      <c r="C17" s="798" t="s">
        <v>668</v>
      </c>
      <c r="D17" s="798"/>
    </row>
    <row r="18" spans="1:4" s="3" customFormat="1" x14ac:dyDescent="0.2">
      <c r="A18" s="346"/>
      <c r="B18" s="2"/>
      <c r="C18" s="2"/>
      <c r="D18" s="341"/>
    </row>
    <row r="19" spans="1:4" s="3" customFormat="1" ht="20.25" x14ac:dyDescent="0.2">
      <c r="A19" s="5" t="s">
        <v>242</v>
      </c>
      <c r="B19" s="5"/>
      <c r="C19" s="5"/>
      <c r="D19" s="505"/>
    </row>
    <row r="20" spans="1:4" s="69" customFormat="1" x14ac:dyDescent="0.2">
      <c r="A20" s="270" t="s">
        <v>89</v>
      </c>
      <c r="B20" s="748" t="s">
        <v>76</v>
      </c>
      <c r="C20" s="749"/>
      <c r="D20" s="323" t="s">
        <v>90</v>
      </c>
    </row>
    <row r="21" spans="1:4" s="658" customFormat="1" ht="15.75" x14ac:dyDescent="0.2">
      <c r="A21" s="795" t="str">
        <f>Cost_Analysis!A1</f>
        <v>Cost Analysis: Business Case Cost: This is a Sample Used For Demonstration Purposes Only</v>
      </c>
      <c r="B21" s="796"/>
      <c r="C21" s="796"/>
      <c r="D21" s="797"/>
    </row>
    <row r="22" spans="1:4" s="659" customFormat="1" ht="14.25" x14ac:dyDescent="0.2">
      <c r="A22" s="443" t="s">
        <v>115</v>
      </c>
      <c r="B22" s="746" t="s">
        <v>520</v>
      </c>
      <c r="C22" s="747"/>
      <c r="D22" s="686" t="s">
        <v>521</v>
      </c>
    </row>
    <row r="23" spans="1:4" s="659" customFormat="1" ht="38.25" x14ac:dyDescent="0.2">
      <c r="A23" s="687" t="s">
        <v>116</v>
      </c>
      <c r="B23" s="750" t="s">
        <v>523</v>
      </c>
      <c r="C23" s="751"/>
      <c r="D23" s="688" t="s">
        <v>659</v>
      </c>
    </row>
    <row r="24" spans="1:4" s="659" customFormat="1" ht="15" x14ac:dyDescent="0.2">
      <c r="A24" s="389" t="s">
        <v>117</v>
      </c>
      <c r="B24" s="752" t="s">
        <v>463</v>
      </c>
      <c r="C24" s="753"/>
      <c r="D24" s="688" t="s">
        <v>524</v>
      </c>
    </row>
    <row r="25" spans="1:4" s="659" customFormat="1" ht="14.25" x14ac:dyDescent="0.2">
      <c r="A25" s="689" t="s">
        <v>519</v>
      </c>
      <c r="B25" s="750" t="s">
        <v>618</v>
      </c>
      <c r="C25" s="751"/>
      <c r="D25" s="688" t="s">
        <v>522</v>
      </c>
    </row>
    <row r="26" spans="1:4" s="659" customFormat="1" ht="44.25" customHeight="1" x14ac:dyDescent="0.2">
      <c r="A26" s="689" t="s">
        <v>466</v>
      </c>
      <c r="B26" s="750" t="s">
        <v>619</v>
      </c>
      <c r="C26" s="751"/>
      <c r="D26" s="688" t="s">
        <v>660</v>
      </c>
    </row>
    <row r="27" spans="1:4" s="659" customFormat="1" ht="15" customHeight="1" x14ac:dyDescent="0.2">
      <c r="A27" s="389" t="s">
        <v>467</v>
      </c>
      <c r="B27" s="752" t="s">
        <v>468</v>
      </c>
      <c r="C27" s="753"/>
      <c r="D27" s="688" t="s">
        <v>525</v>
      </c>
    </row>
    <row r="28" spans="1:4" s="659" customFormat="1" ht="25.5" x14ac:dyDescent="0.2">
      <c r="A28" s="689" t="s">
        <v>118</v>
      </c>
      <c r="B28" s="750" t="s">
        <v>526</v>
      </c>
      <c r="C28" s="751"/>
      <c r="D28" s="688" t="s">
        <v>528</v>
      </c>
    </row>
    <row r="29" spans="1:4" s="659" customFormat="1" ht="15" x14ac:dyDescent="0.2">
      <c r="A29" s="389" t="s">
        <v>119</v>
      </c>
      <c r="B29" s="752" t="s">
        <v>472</v>
      </c>
      <c r="C29" s="753"/>
      <c r="D29" s="688" t="s">
        <v>530</v>
      </c>
    </row>
    <row r="30" spans="1:4" s="659" customFormat="1" ht="38.25" x14ac:dyDescent="0.2">
      <c r="A30" s="689" t="s">
        <v>473</v>
      </c>
      <c r="B30" s="750" t="s">
        <v>572</v>
      </c>
      <c r="C30" s="751"/>
      <c r="D30" s="688" t="s">
        <v>573</v>
      </c>
    </row>
    <row r="31" spans="1:4" s="659" customFormat="1" ht="15" x14ac:dyDescent="0.2">
      <c r="A31" s="389" t="s">
        <v>476</v>
      </c>
      <c r="B31" s="752" t="s">
        <v>527</v>
      </c>
      <c r="C31" s="753"/>
      <c r="D31" s="688" t="s">
        <v>529</v>
      </c>
    </row>
    <row r="32" spans="1:4" s="659" customFormat="1" ht="15" x14ac:dyDescent="0.2">
      <c r="A32" s="389" t="s">
        <v>120</v>
      </c>
      <c r="B32" s="752" t="s">
        <v>531</v>
      </c>
      <c r="C32" s="753"/>
      <c r="D32" s="688" t="s">
        <v>532</v>
      </c>
    </row>
    <row r="33" spans="1:4" s="659" customFormat="1" ht="29.25" customHeight="1" x14ac:dyDescent="0.2">
      <c r="A33" s="389" t="s">
        <v>477</v>
      </c>
      <c r="B33" s="752" t="s">
        <v>581</v>
      </c>
      <c r="C33" s="753"/>
      <c r="D33" s="688" t="s">
        <v>533</v>
      </c>
    </row>
    <row r="34" spans="1:4" s="659" customFormat="1" ht="14.25" x14ac:dyDescent="0.2">
      <c r="A34" s="687" t="s">
        <v>121</v>
      </c>
      <c r="B34" s="750" t="s">
        <v>622</v>
      </c>
      <c r="C34" s="751"/>
      <c r="D34" s="688" t="s">
        <v>235</v>
      </c>
    </row>
    <row r="35" spans="1:4" s="659" customFormat="1" ht="15" customHeight="1" x14ac:dyDescent="0.2">
      <c r="A35" s="389" t="s">
        <v>122</v>
      </c>
      <c r="B35" s="752" t="s">
        <v>534</v>
      </c>
      <c r="C35" s="753"/>
      <c r="D35" s="688" t="s">
        <v>535</v>
      </c>
    </row>
    <row r="36" spans="1:4" s="659" customFormat="1" ht="14.25" x14ac:dyDescent="0.2">
      <c r="A36" s="687" t="s">
        <v>123</v>
      </c>
      <c r="B36" s="750" t="s">
        <v>478</v>
      </c>
      <c r="C36" s="751"/>
      <c r="D36" s="688" t="s">
        <v>417</v>
      </c>
    </row>
    <row r="37" spans="1:4" s="659" customFormat="1" ht="15" x14ac:dyDescent="0.2">
      <c r="A37" s="389" t="s">
        <v>124</v>
      </c>
      <c r="B37" s="752" t="s">
        <v>616</v>
      </c>
      <c r="C37" s="753"/>
      <c r="D37" s="688" t="s">
        <v>537</v>
      </c>
    </row>
    <row r="38" spans="1:4" s="659" customFormat="1" ht="14.25" x14ac:dyDescent="0.2">
      <c r="A38" s="689" t="s">
        <v>479</v>
      </c>
      <c r="B38" s="750" t="s">
        <v>480</v>
      </c>
      <c r="C38" s="751"/>
      <c r="D38" s="688" t="s">
        <v>561</v>
      </c>
    </row>
    <row r="39" spans="1:4" s="659" customFormat="1" ht="15" x14ac:dyDescent="0.2">
      <c r="A39" s="389" t="s">
        <v>481</v>
      </c>
      <c r="B39" s="752" t="s">
        <v>615</v>
      </c>
      <c r="C39" s="753"/>
      <c r="D39" s="688" t="s">
        <v>538</v>
      </c>
    </row>
    <row r="40" spans="1:4" s="659" customFormat="1" ht="14.25" x14ac:dyDescent="0.2">
      <c r="A40" s="687" t="s">
        <v>125</v>
      </c>
      <c r="B40" s="750" t="s">
        <v>539</v>
      </c>
      <c r="C40" s="751"/>
      <c r="D40" s="688" t="s">
        <v>236</v>
      </c>
    </row>
    <row r="41" spans="1:4" s="659" customFormat="1" ht="15" x14ac:dyDescent="0.2">
      <c r="A41" s="389" t="s">
        <v>126</v>
      </c>
      <c r="B41" s="752" t="s">
        <v>540</v>
      </c>
      <c r="C41" s="753"/>
      <c r="D41" s="688" t="s">
        <v>542</v>
      </c>
    </row>
    <row r="42" spans="1:4" s="659" customFormat="1" ht="14.25" x14ac:dyDescent="0.2">
      <c r="A42" s="687" t="s">
        <v>127</v>
      </c>
      <c r="B42" s="750" t="s">
        <v>482</v>
      </c>
      <c r="C42" s="751"/>
      <c r="D42" s="688" t="s">
        <v>543</v>
      </c>
    </row>
    <row r="43" spans="1:4" s="659" customFormat="1" ht="15" x14ac:dyDescent="0.2">
      <c r="A43" s="389" t="s">
        <v>128</v>
      </c>
      <c r="B43" s="752" t="s">
        <v>541</v>
      </c>
      <c r="C43" s="753"/>
      <c r="D43" s="688" t="s">
        <v>544</v>
      </c>
    </row>
    <row r="44" spans="1:4" s="659" customFormat="1" ht="14.25" x14ac:dyDescent="0.2">
      <c r="A44" s="689" t="s">
        <v>483</v>
      </c>
      <c r="B44" s="750" t="s">
        <v>621</v>
      </c>
      <c r="C44" s="751"/>
      <c r="D44" s="688" t="s">
        <v>562</v>
      </c>
    </row>
    <row r="45" spans="1:4" s="659" customFormat="1" ht="15" x14ac:dyDescent="0.2">
      <c r="A45" s="389" t="s">
        <v>485</v>
      </c>
      <c r="B45" s="752" t="s">
        <v>617</v>
      </c>
      <c r="C45" s="753"/>
      <c r="D45" s="688" t="s">
        <v>545</v>
      </c>
    </row>
    <row r="46" spans="1:4" s="659" customFormat="1" ht="14.25" x14ac:dyDescent="0.2">
      <c r="A46" s="687" t="s">
        <v>129</v>
      </c>
      <c r="B46" s="750" t="s">
        <v>632</v>
      </c>
      <c r="C46" s="751"/>
      <c r="D46" s="688" t="s">
        <v>546</v>
      </c>
    </row>
    <row r="47" spans="1:4" s="659" customFormat="1" ht="14.25" x14ac:dyDescent="0.2">
      <c r="A47" s="687" t="s">
        <v>130</v>
      </c>
      <c r="B47" s="750" t="s">
        <v>633</v>
      </c>
      <c r="C47" s="751"/>
      <c r="D47" s="688" t="s">
        <v>547</v>
      </c>
    </row>
    <row r="48" spans="1:4" s="659" customFormat="1" ht="14.25" x14ac:dyDescent="0.2">
      <c r="A48" s="687" t="s">
        <v>131</v>
      </c>
      <c r="B48" s="750" t="s">
        <v>634</v>
      </c>
      <c r="C48" s="751"/>
      <c r="D48" s="688" t="s">
        <v>548</v>
      </c>
    </row>
    <row r="49" spans="1:4" s="659" customFormat="1" ht="14.25" x14ac:dyDescent="0.2">
      <c r="A49" s="687" t="s">
        <v>132</v>
      </c>
      <c r="B49" s="750" t="s">
        <v>635</v>
      </c>
      <c r="C49" s="751"/>
      <c r="D49" s="688" t="s">
        <v>549</v>
      </c>
    </row>
    <row r="50" spans="1:4" s="659" customFormat="1" ht="14.25" x14ac:dyDescent="0.2">
      <c r="A50" s="687" t="s">
        <v>133</v>
      </c>
      <c r="B50" s="750" t="s">
        <v>636</v>
      </c>
      <c r="C50" s="751"/>
      <c r="D50" s="688" t="s">
        <v>550</v>
      </c>
    </row>
    <row r="51" spans="1:4" s="659" customFormat="1" ht="14.25" x14ac:dyDescent="0.2">
      <c r="A51" s="687" t="s">
        <v>134</v>
      </c>
      <c r="B51" s="750" t="s">
        <v>637</v>
      </c>
      <c r="C51" s="751"/>
      <c r="D51" s="688" t="s">
        <v>551</v>
      </c>
    </row>
    <row r="52" spans="1:4" s="659" customFormat="1" ht="14.25" x14ac:dyDescent="0.2">
      <c r="A52" s="687" t="s">
        <v>135</v>
      </c>
      <c r="B52" s="750" t="s">
        <v>638</v>
      </c>
      <c r="C52" s="751"/>
      <c r="D52" s="688" t="s">
        <v>552</v>
      </c>
    </row>
    <row r="53" spans="1:4" s="659" customFormat="1" ht="14.25" x14ac:dyDescent="0.2">
      <c r="A53" s="687" t="s">
        <v>136</v>
      </c>
      <c r="B53" s="750" t="s">
        <v>638</v>
      </c>
      <c r="C53" s="751"/>
      <c r="D53" s="688" t="s">
        <v>552</v>
      </c>
    </row>
    <row r="54" spans="1:4" s="659" customFormat="1" ht="14.25" x14ac:dyDescent="0.2">
      <c r="A54" s="687" t="s">
        <v>137</v>
      </c>
      <c r="B54" s="750" t="s">
        <v>638</v>
      </c>
      <c r="C54" s="751"/>
      <c r="D54" s="688" t="s">
        <v>552</v>
      </c>
    </row>
    <row r="55" spans="1:4" s="659" customFormat="1" ht="15" x14ac:dyDescent="0.2">
      <c r="A55" s="389" t="s">
        <v>138</v>
      </c>
      <c r="B55" s="752" t="s">
        <v>487</v>
      </c>
      <c r="C55" s="753"/>
      <c r="D55" s="688" t="s">
        <v>553</v>
      </c>
    </row>
    <row r="56" spans="1:4" s="659" customFormat="1" ht="14.25" x14ac:dyDescent="0.2">
      <c r="A56" s="689" t="s">
        <v>490</v>
      </c>
      <c r="B56" s="750" t="s">
        <v>639</v>
      </c>
      <c r="C56" s="751"/>
      <c r="D56" s="688" t="s">
        <v>554</v>
      </c>
    </row>
    <row r="57" spans="1:4" s="659" customFormat="1" ht="14.25" x14ac:dyDescent="0.2">
      <c r="A57" s="689" t="s">
        <v>491</v>
      </c>
      <c r="B57" s="750" t="s">
        <v>640</v>
      </c>
      <c r="C57" s="751"/>
      <c r="D57" s="688" t="s">
        <v>555</v>
      </c>
    </row>
    <row r="58" spans="1:4" s="659" customFormat="1" ht="14.25" x14ac:dyDescent="0.2">
      <c r="A58" s="689" t="s">
        <v>492</v>
      </c>
      <c r="B58" s="750" t="s">
        <v>641</v>
      </c>
      <c r="C58" s="751"/>
      <c r="D58" s="688" t="s">
        <v>556</v>
      </c>
    </row>
    <row r="59" spans="1:4" s="659" customFormat="1" ht="14.25" x14ac:dyDescent="0.2">
      <c r="A59" s="689" t="s">
        <v>493</v>
      </c>
      <c r="B59" s="750" t="s">
        <v>642</v>
      </c>
      <c r="C59" s="751"/>
      <c r="D59" s="688" t="s">
        <v>557</v>
      </c>
    </row>
    <row r="60" spans="1:4" s="659" customFormat="1" ht="14.25" x14ac:dyDescent="0.2">
      <c r="A60" s="689" t="s">
        <v>494</v>
      </c>
      <c r="B60" s="750" t="s">
        <v>643</v>
      </c>
      <c r="C60" s="751"/>
      <c r="D60" s="688" t="s">
        <v>558</v>
      </c>
    </row>
    <row r="61" spans="1:4" s="659" customFormat="1" ht="14.25" x14ac:dyDescent="0.2">
      <c r="A61" s="689" t="s">
        <v>495</v>
      </c>
      <c r="B61" s="750" t="s">
        <v>644</v>
      </c>
      <c r="C61" s="751"/>
      <c r="D61" s="688" t="s">
        <v>559</v>
      </c>
    </row>
    <row r="62" spans="1:4" s="659" customFormat="1" ht="14.25" x14ac:dyDescent="0.2">
      <c r="A62" s="689" t="s">
        <v>496</v>
      </c>
      <c r="B62" s="750" t="s">
        <v>645</v>
      </c>
      <c r="C62" s="751"/>
      <c r="D62" s="688" t="s">
        <v>560</v>
      </c>
    </row>
    <row r="63" spans="1:4" s="659" customFormat="1" ht="14.25" x14ac:dyDescent="0.2">
      <c r="A63" s="689" t="s">
        <v>497</v>
      </c>
      <c r="B63" s="750" t="s">
        <v>645</v>
      </c>
      <c r="C63" s="751"/>
      <c r="D63" s="688" t="s">
        <v>560</v>
      </c>
    </row>
    <row r="64" spans="1:4" s="659" customFormat="1" ht="14.25" x14ac:dyDescent="0.2">
      <c r="A64" s="689" t="s">
        <v>498</v>
      </c>
      <c r="B64" s="750" t="s">
        <v>645</v>
      </c>
      <c r="C64" s="751"/>
      <c r="D64" s="688" t="s">
        <v>560</v>
      </c>
    </row>
    <row r="65" spans="1:4" s="659" customFormat="1" ht="15" x14ac:dyDescent="0.2">
      <c r="A65" s="389" t="s">
        <v>499</v>
      </c>
      <c r="B65" s="752" t="s">
        <v>489</v>
      </c>
      <c r="C65" s="753"/>
      <c r="D65" s="688" t="s">
        <v>574</v>
      </c>
    </row>
    <row r="66" spans="1:4" s="659" customFormat="1" ht="15" x14ac:dyDescent="0.2">
      <c r="A66" s="389" t="s">
        <v>237</v>
      </c>
      <c r="B66" s="752" t="s">
        <v>500</v>
      </c>
      <c r="C66" s="753"/>
      <c r="D66" s="688" t="s">
        <v>563</v>
      </c>
    </row>
    <row r="67" spans="1:4" s="659" customFormat="1" ht="30" customHeight="1" x14ac:dyDescent="0.2">
      <c r="A67" s="389" t="s">
        <v>501</v>
      </c>
      <c r="B67" s="752" t="s">
        <v>502</v>
      </c>
      <c r="C67" s="753"/>
      <c r="D67" s="688" t="s">
        <v>575</v>
      </c>
    </row>
    <row r="68" spans="1:4" s="659" customFormat="1" ht="15" x14ac:dyDescent="0.2">
      <c r="A68" s="389" t="s">
        <v>238</v>
      </c>
      <c r="B68" s="752" t="s">
        <v>261</v>
      </c>
      <c r="C68" s="753"/>
      <c r="D68" s="688" t="s">
        <v>564</v>
      </c>
    </row>
    <row r="69" spans="1:4" s="659" customFormat="1" ht="30" customHeight="1" x14ac:dyDescent="0.2">
      <c r="A69" s="389" t="s">
        <v>503</v>
      </c>
      <c r="B69" s="752" t="s">
        <v>504</v>
      </c>
      <c r="C69" s="753"/>
      <c r="D69" s="688" t="s">
        <v>565</v>
      </c>
    </row>
    <row r="70" spans="1:4" s="659" customFormat="1" ht="17.25" customHeight="1" x14ac:dyDescent="0.2">
      <c r="A70" s="504"/>
      <c r="B70" s="808" t="s">
        <v>568</v>
      </c>
      <c r="C70" s="752"/>
      <c r="D70" s="688" t="s">
        <v>611</v>
      </c>
    </row>
    <row r="71" spans="1:4" s="660" customFormat="1" ht="29.25" customHeight="1" x14ac:dyDescent="0.2">
      <c r="A71" s="389" t="s">
        <v>432</v>
      </c>
      <c r="B71" s="752" t="s">
        <v>517</v>
      </c>
      <c r="C71" s="753"/>
      <c r="D71" s="688" t="s">
        <v>518</v>
      </c>
    </row>
    <row r="72" spans="1:4" s="659" customFormat="1" ht="17.25" customHeight="1" x14ac:dyDescent="0.2">
      <c r="A72" s="504"/>
      <c r="B72" s="808" t="s">
        <v>620</v>
      </c>
      <c r="C72" s="752"/>
      <c r="D72" s="688" t="s">
        <v>612</v>
      </c>
    </row>
    <row r="73" spans="1:4" s="660" customFormat="1" ht="28.5" customHeight="1" x14ac:dyDescent="0.2">
      <c r="A73" s="389" t="s">
        <v>505</v>
      </c>
      <c r="B73" s="752" t="s">
        <v>576</v>
      </c>
      <c r="C73" s="753"/>
      <c r="D73" s="688" t="s">
        <v>569</v>
      </c>
    </row>
    <row r="74" spans="1:4" s="659" customFormat="1" ht="15" x14ac:dyDescent="0.2">
      <c r="A74" s="349" t="s">
        <v>433</v>
      </c>
      <c r="B74" s="752" t="s">
        <v>259</v>
      </c>
      <c r="C74" s="753"/>
      <c r="D74" s="688" t="s">
        <v>435</v>
      </c>
    </row>
    <row r="75" spans="1:4" s="659" customFormat="1" ht="15" x14ac:dyDescent="0.2">
      <c r="A75" s="349" t="s">
        <v>506</v>
      </c>
      <c r="B75" s="752" t="s">
        <v>507</v>
      </c>
      <c r="C75" s="753"/>
      <c r="D75" s="688" t="s">
        <v>570</v>
      </c>
    </row>
    <row r="76" spans="1:4" s="659" customFormat="1" ht="15" x14ac:dyDescent="0.2">
      <c r="A76" s="631" t="s">
        <v>434</v>
      </c>
      <c r="B76" s="752" t="s">
        <v>508</v>
      </c>
      <c r="C76" s="753"/>
      <c r="D76" s="688" t="s">
        <v>571</v>
      </c>
    </row>
    <row r="77" spans="1:4" s="661" customFormat="1" ht="15.75" x14ac:dyDescent="0.2">
      <c r="A77" s="795" t="s">
        <v>43</v>
      </c>
      <c r="B77" s="796"/>
      <c r="C77" s="796"/>
      <c r="D77" s="797"/>
    </row>
    <row r="78" spans="1:4" s="144" customFormat="1" ht="15" x14ac:dyDescent="0.2">
      <c r="A78" s="783" t="s">
        <v>233</v>
      </c>
      <c r="B78" s="784"/>
      <c r="C78" s="784"/>
      <c r="D78" s="785"/>
    </row>
    <row r="79" spans="1:4" s="144" customFormat="1" x14ac:dyDescent="0.2">
      <c r="A79" s="792" t="s">
        <v>418</v>
      </c>
      <c r="B79" s="793"/>
      <c r="C79" s="793"/>
      <c r="D79" s="794"/>
    </row>
    <row r="80" spans="1:4" s="662" customFormat="1" ht="40.5" customHeight="1" x14ac:dyDescent="0.2">
      <c r="A80" s="352" t="s">
        <v>201</v>
      </c>
      <c r="B80" s="781" t="s">
        <v>419</v>
      </c>
      <c r="C80" s="782"/>
      <c r="D80" s="348" t="s">
        <v>661</v>
      </c>
    </row>
    <row r="81" spans="1:4" s="662" customFormat="1" ht="28.5" customHeight="1" x14ac:dyDescent="0.2">
      <c r="A81" s="352" t="s">
        <v>202</v>
      </c>
      <c r="B81" s="781" t="s">
        <v>295</v>
      </c>
      <c r="C81" s="782"/>
      <c r="D81" s="348" t="s">
        <v>199</v>
      </c>
    </row>
    <row r="82" spans="1:4" s="662" customFormat="1" ht="16.5" customHeight="1" x14ac:dyDescent="0.2">
      <c r="A82" s="352" t="s">
        <v>203</v>
      </c>
      <c r="B82" s="781" t="s">
        <v>262</v>
      </c>
      <c r="C82" s="782"/>
      <c r="D82" s="348" t="s">
        <v>200</v>
      </c>
    </row>
    <row r="83" spans="1:4" s="662" customFormat="1" ht="54" customHeight="1" x14ac:dyDescent="0.2">
      <c r="A83" s="352" t="s">
        <v>204</v>
      </c>
      <c r="B83" s="781" t="s">
        <v>289</v>
      </c>
      <c r="C83" s="782"/>
      <c r="D83" s="353" t="s">
        <v>443</v>
      </c>
    </row>
    <row r="84" spans="1:4" s="662" customFormat="1" x14ac:dyDescent="0.2">
      <c r="A84" s="352" t="s">
        <v>205</v>
      </c>
      <c r="B84" s="781" t="s">
        <v>320</v>
      </c>
      <c r="C84" s="782"/>
      <c r="D84" s="354" t="s">
        <v>365</v>
      </c>
    </row>
    <row r="85" spans="1:4" s="662" customFormat="1" x14ac:dyDescent="0.2">
      <c r="A85" s="352" t="s">
        <v>206</v>
      </c>
      <c r="B85" s="781" t="s">
        <v>292</v>
      </c>
      <c r="C85" s="782"/>
      <c r="D85" s="348" t="s">
        <v>420</v>
      </c>
    </row>
    <row r="86" spans="1:4" s="662" customFormat="1" x14ac:dyDescent="0.2">
      <c r="A86" s="352" t="s">
        <v>207</v>
      </c>
      <c r="B86" s="781" t="s">
        <v>293</v>
      </c>
      <c r="C86" s="782"/>
      <c r="D86" s="348" t="s">
        <v>421</v>
      </c>
    </row>
    <row r="87" spans="1:4" s="662" customFormat="1" x14ac:dyDescent="0.2">
      <c r="A87" s="352" t="s">
        <v>208</v>
      </c>
      <c r="B87" s="781" t="s">
        <v>267</v>
      </c>
      <c r="C87" s="782"/>
      <c r="D87" s="348" t="s">
        <v>422</v>
      </c>
    </row>
    <row r="88" spans="1:4" s="662" customFormat="1" x14ac:dyDescent="0.2">
      <c r="A88" s="352" t="s">
        <v>209</v>
      </c>
      <c r="B88" s="781" t="s">
        <v>424</v>
      </c>
      <c r="C88" s="782"/>
      <c r="D88" s="348" t="s">
        <v>423</v>
      </c>
    </row>
    <row r="89" spans="1:4" s="662" customFormat="1" x14ac:dyDescent="0.2">
      <c r="A89" s="352" t="s">
        <v>234</v>
      </c>
      <c r="B89" s="781" t="s">
        <v>198</v>
      </c>
      <c r="C89" s="782"/>
      <c r="D89" s="353" t="s">
        <v>173</v>
      </c>
    </row>
    <row r="90" spans="1:4" s="659" customFormat="1" x14ac:dyDescent="0.2">
      <c r="A90" s="355" t="s">
        <v>214</v>
      </c>
      <c r="B90" s="756" t="s">
        <v>297</v>
      </c>
      <c r="C90" s="757"/>
      <c r="D90" s="350" t="s">
        <v>370</v>
      </c>
    </row>
    <row r="91" spans="1:4" s="144" customFormat="1" x14ac:dyDescent="0.2">
      <c r="A91" s="743" t="s">
        <v>425</v>
      </c>
      <c r="B91" s="744"/>
      <c r="C91" s="744"/>
      <c r="D91" s="745"/>
    </row>
    <row r="92" spans="1:4" ht="25.5" x14ac:dyDescent="0.2">
      <c r="A92" s="356" t="s">
        <v>215</v>
      </c>
      <c r="B92" s="754" t="s">
        <v>266</v>
      </c>
      <c r="C92" s="755"/>
      <c r="D92" s="348" t="s">
        <v>0</v>
      </c>
    </row>
    <row r="93" spans="1:4" ht="25.5" x14ac:dyDescent="0.2">
      <c r="A93" s="356" t="s">
        <v>216</v>
      </c>
      <c r="B93" s="754" t="s">
        <v>265</v>
      </c>
      <c r="C93" s="755"/>
      <c r="D93" s="348" t="s">
        <v>1</v>
      </c>
    </row>
    <row r="94" spans="1:4" x14ac:dyDescent="0.2">
      <c r="A94" s="356" t="s">
        <v>217</v>
      </c>
      <c r="B94" s="754" t="s">
        <v>322</v>
      </c>
      <c r="C94" s="755"/>
      <c r="D94" s="348" t="s">
        <v>364</v>
      </c>
    </row>
    <row r="95" spans="1:4" x14ac:dyDescent="0.2">
      <c r="A95" s="356" t="s">
        <v>218</v>
      </c>
      <c r="B95" s="754" t="s">
        <v>290</v>
      </c>
      <c r="C95" s="755"/>
      <c r="D95" s="348" t="s">
        <v>197</v>
      </c>
    </row>
    <row r="96" spans="1:4" x14ac:dyDescent="0.2">
      <c r="A96" s="356" t="s">
        <v>143</v>
      </c>
      <c r="B96" s="754" t="s">
        <v>299</v>
      </c>
      <c r="C96" s="755"/>
      <c r="D96" s="348" t="s">
        <v>378</v>
      </c>
    </row>
    <row r="97" spans="1:4" x14ac:dyDescent="0.2">
      <c r="A97" s="355" t="s">
        <v>223</v>
      </c>
      <c r="B97" s="756" t="s">
        <v>264</v>
      </c>
      <c r="C97" s="757"/>
      <c r="D97" s="350" t="s">
        <v>371</v>
      </c>
    </row>
    <row r="98" spans="1:4" s="144" customFormat="1" x14ac:dyDescent="0.2">
      <c r="A98" s="743" t="s">
        <v>87</v>
      </c>
      <c r="B98" s="744"/>
      <c r="C98" s="744"/>
      <c r="D98" s="745"/>
    </row>
    <row r="99" spans="1:4" s="659" customFormat="1" x14ac:dyDescent="0.2">
      <c r="A99" s="356" t="s">
        <v>224</v>
      </c>
      <c r="B99" s="754" t="s">
        <v>291</v>
      </c>
      <c r="C99" s="755"/>
      <c r="D99" s="354" t="s">
        <v>2</v>
      </c>
    </row>
    <row r="100" spans="1:4" s="659" customFormat="1" x14ac:dyDescent="0.2">
      <c r="A100" s="356" t="s">
        <v>225</v>
      </c>
      <c r="B100" s="754" t="s">
        <v>321</v>
      </c>
      <c r="C100" s="755"/>
      <c r="D100" s="348" t="s">
        <v>366</v>
      </c>
    </row>
    <row r="101" spans="1:4" s="659" customFormat="1" x14ac:dyDescent="0.2">
      <c r="A101" s="356" t="s">
        <v>144</v>
      </c>
      <c r="B101" s="754" t="s">
        <v>302</v>
      </c>
      <c r="C101" s="755"/>
      <c r="D101" s="348" t="s">
        <v>379</v>
      </c>
    </row>
    <row r="102" spans="1:4" s="659" customFormat="1" x14ac:dyDescent="0.2">
      <c r="A102" s="355" t="s">
        <v>230</v>
      </c>
      <c r="B102" s="756" t="s">
        <v>263</v>
      </c>
      <c r="C102" s="757"/>
      <c r="D102" s="350" t="s">
        <v>381</v>
      </c>
    </row>
    <row r="103" spans="1:4" s="659" customFormat="1" x14ac:dyDescent="0.2">
      <c r="A103" s="355" t="s">
        <v>231</v>
      </c>
      <c r="B103" s="756" t="s">
        <v>178</v>
      </c>
      <c r="C103" s="757"/>
      <c r="D103" s="350" t="s">
        <v>3</v>
      </c>
    </row>
    <row r="104" spans="1:4" s="659" customFormat="1" x14ac:dyDescent="0.2">
      <c r="A104" s="357" t="s">
        <v>232</v>
      </c>
      <c r="B104" s="770" t="s">
        <v>177</v>
      </c>
      <c r="C104" s="771"/>
      <c r="D104" s="351" t="s">
        <v>380</v>
      </c>
    </row>
    <row r="105" spans="1:4" s="661" customFormat="1" ht="15.75" x14ac:dyDescent="0.2">
      <c r="A105" s="786" t="s">
        <v>43</v>
      </c>
      <c r="B105" s="787"/>
      <c r="C105" s="787"/>
      <c r="D105" s="788"/>
    </row>
    <row r="106" spans="1:4" s="144" customFormat="1" ht="15" x14ac:dyDescent="0.2">
      <c r="A106" s="783" t="s">
        <v>303</v>
      </c>
      <c r="B106" s="784"/>
      <c r="C106" s="784"/>
      <c r="D106" s="785"/>
    </row>
    <row r="107" spans="1:4" s="144" customFormat="1" x14ac:dyDescent="0.2">
      <c r="A107" s="743" t="s">
        <v>9</v>
      </c>
      <c r="B107" s="744"/>
      <c r="C107" s="744"/>
      <c r="D107" s="745"/>
    </row>
    <row r="108" spans="1:4" ht="54" customHeight="1" x14ac:dyDescent="0.2">
      <c r="A108" s="356" t="s">
        <v>283</v>
      </c>
      <c r="B108" s="754" t="s">
        <v>327</v>
      </c>
      <c r="C108" s="755"/>
      <c r="D108" s="348" t="s">
        <v>185</v>
      </c>
    </row>
    <row r="109" spans="1:4" x14ac:dyDescent="0.2">
      <c r="A109" s="356" t="s">
        <v>284</v>
      </c>
      <c r="B109" s="754" t="s">
        <v>335</v>
      </c>
      <c r="C109" s="755"/>
      <c r="D109" s="348" t="s">
        <v>186</v>
      </c>
    </row>
    <row r="110" spans="1:4" x14ac:dyDescent="0.2">
      <c r="A110" s="356" t="s">
        <v>285</v>
      </c>
      <c r="B110" s="754" t="s">
        <v>336</v>
      </c>
      <c r="C110" s="755"/>
      <c r="D110" s="348" t="s">
        <v>4</v>
      </c>
    </row>
    <row r="111" spans="1:4" x14ac:dyDescent="0.2">
      <c r="A111" s="356" t="s">
        <v>286</v>
      </c>
      <c r="B111" s="754" t="s">
        <v>319</v>
      </c>
      <c r="C111" s="755"/>
      <c r="D111" s="348" t="s">
        <v>187</v>
      </c>
    </row>
    <row r="112" spans="1:4" x14ac:dyDescent="0.2">
      <c r="A112" s="356" t="s">
        <v>182</v>
      </c>
      <c r="B112" s="754" t="s">
        <v>11</v>
      </c>
      <c r="C112" s="755"/>
      <c r="D112" s="348" t="s">
        <v>12</v>
      </c>
    </row>
    <row r="113" spans="1:4" x14ac:dyDescent="0.2">
      <c r="A113" s="355" t="s">
        <v>306</v>
      </c>
      <c r="B113" s="756" t="s">
        <v>10</v>
      </c>
      <c r="C113" s="757"/>
      <c r="D113" s="350" t="s">
        <v>13</v>
      </c>
    </row>
    <row r="114" spans="1:4" s="144" customFormat="1" x14ac:dyDescent="0.2">
      <c r="A114" s="743" t="s">
        <v>192</v>
      </c>
      <c r="B114" s="744" t="s">
        <v>307</v>
      </c>
      <c r="C114" s="744"/>
      <c r="D114" s="745" t="s">
        <v>175</v>
      </c>
    </row>
    <row r="115" spans="1:4" x14ac:dyDescent="0.2">
      <c r="A115" s="356" t="s">
        <v>308</v>
      </c>
      <c r="B115" s="754" t="s">
        <v>324</v>
      </c>
      <c r="C115" s="755"/>
      <c r="D115" s="354" t="s">
        <v>175</v>
      </c>
    </row>
    <row r="116" spans="1:4" x14ac:dyDescent="0.2">
      <c r="A116" s="356" t="s">
        <v>309</v>
      </c>
      <c r="B116" s="754" t="s">
        <v>325</v>
      </c>
      <c r="C116" s="755"/>
      <c r="D116" s="348" t="s">
        <v>363</v>
      </c>
    </row>
    <row r="117" spans="1:4" x14ac:dyDescent="0.2">
      <c r="A117" s="356" t="s">
        <v>310</v>
      </c>
      <c r="B117" s="754" t="s">
        <v>323</v>
      </c>
      <c r="C117" s="755"/>
      <c r="D117" s="348" t="s">
        <v>5</v>
      </c>
    </row>
    <row r="118" spans="1:4" x14ac:dyDescent="0.2">
      <c r="A118" s="356" t="s">
        <v>311</v>
      </c>
      <c r="B118" s="754" t="s">
        <v>326</v>
      </c>
      <c r="C118" s="755"/>
      <c r="D118" s="348" t="s">
        <v>426</v>
      </c>
    </row>
    <row r="119" spans="1:4" x14ac:dyDescent="0.2">
      <c r="A119" s="356" t="s">
        <v>183</v>
      </c>
      <c r="B119" s="754" t="s">
        <v>314</v>
      </c>
      <c r="C119" s="755"/>
      <c r="D119" s="348" t="s">
        <v>376</v>
      </c>
    </row>
    <row r="120" spans="1:4" x14ac:dyDescent="0.2">
      <c r="A120" s="355" t="s">
        <v>318</v>
      </c>
      <c r="B120" s="756" t="s">
        <v>188</v>
      </c>
      <c r="C120" s="757"/>
      <c r="D120" s="350" t="s">
        <v>372</v>
      </c>
    </row>
    <row r="121" spans="1:4" s="144" customFormat="1" x14ac:dyDescent="0.2">
      <c r="A121" s="743" t="s">
        <v>193</v>
      </c>
      <c r="B121" s="744" t="s">
        <v>243</v>
      </c>
      <c r="C121" s="744"/>
      <c r="D121" s="745"/>
    </row>
    <row r="122" spans="1:4" x14ac:dyDescent="0.2">
      <c r="A122" s="356" t="s">
        <v>184</v>
      </c>
      <c r="B122" s="754" t="s">
        <v>190</v>
      </c>
      <c r="C122" s="755"/>
      <c r="D122" s="348" t="s">
        <v>377</v>
      </c>
    </row>
    <row r="123" spans="1:4" x14ac:dyDescent="0.2">
      <c r="A123" s="355" t="s">
        <v>333</v>
      </c>
      <c r="B123" s="756" t="s">
        <v>189</v>
      </c>
      <c r="C123" s="757"/>
      <c r="D123" s="350" t="s">
        <v>373</v>
      </c>
    </row>
    <row r="124" spans="1:4" x14ac:dyDescent="0.2">
      <c r="A124" s="355" t="s">
        <v>334</v>
      </c>
      <c r="B124" s="756" t="s">
        <v>179</v>
      </c>
      <c r="C124" s="757"/>
      <c r="D124" s="350" t="s">
        <v>14</v>
      </c>
    </row>
    <row r="125" spans="1:4" x14ac:dyDescent="0.2">
      <c r="A125" s="357" t="s">
        <v>181</v>
      </c>
      <c r="B125" s="770" t="s">
        <v>180</v>
      </c>
      <c r="C125" s="771"/>
      <c r="D125" s="351" t="s">
        <v>374</v>
      </c>
    </row>
    <row r="126" spans="1:4" s="144" customFormat="1" ht="15.75" x14ac:dyDescent="0.2">
      <c r="A126" s="774" t="s">
        <v>345</v>
      </c>
      <c r="B126" s="775"/>
      <c r="C126" s="775"/>
      <c r="D126" s="776"/>
    </row>
    <row r="127" spans="1:4" x14ac:dyDescent="0.2">
      <c r="A127" s="358" t="s">
        <v>168</v>
      </c>
      <c r="B127" s="772" t="s">
        <v>42</v>
      </c>
      <c r="C127" s="773"/>
      <c r="D127" s="347" t="s">
        <v>194</v>
      </c>
    </row>
    <row r="128" spans="1:4" x14ac:dyDescent="0.2">
      <c r="A128" s="356" t="s">
        <v>169</v>
      </c>
      <c r="B128" s="754" t="s">
        <v>41</v>
      </c>
      <c r="C128" s="755"/>
      <c r="D128" s="348" t="s">
        <v>195</v>
      </c>
    </row>
    <row r="129" spans="1:4" x14ac:dyDescent="0.2">
      <c r="A129" s="356" t="s">
        <v>170</v>
      </c>
      <c r="B129" s="754" t="s">
        <v>341</v>
      </c>
      <c r="C129" s="755"/>
      <c r="D129" s="348" t="s">
        <v>375</v>
      </c>
    </row>
    <row r="130" spans="1:4" ht="25.5" x14ac:dyDescent="0.2">
      <c r="A130" s="356" t="s">
        <v>171</v>
      </c>
      <c r="B130" s="754" t="s">
        <v>174</v>
      </c>
      <c r="C130" s="755"/>
      <c r="D130" s="348" t="s">
        <v>657</v>
      </c>
    </row>
    <row r="131" spans="1:4" x14ac:dyDescent="0.2">
      <c r="A131" s="356" t="s">
        <v>352</v>
      </c>
      <c r="B131" s="789" t="s">
        <v>351</v>
      </c>
      <c r="C131" s="790"/>
      <c r="D131" s="354" t="s">
        <v>8</v>
      </c>
    </row>
    <row r="132" spans="1:4" x14ac:dyDescent="0.2">
      <c r="A132" s="359" t="s">
        <v>172</v>
      </c>
      <c r="B132" s="777" t="s">
        <v>106</v>
      </c>
      <c r="C132" s="778"/>
      <c r="D132" s="360" t="s">
        <v>196</v>
      </c>
    </row>
    <row r="133" spans="1:4" s="144" customFormat="1" ht="15.75" x14ac:dyDescent="0.2">
      <c r="A133" s="774" t="s">
        <v>174</v>
      </c>
      <c r="B133" s="779"/>
      <c r="C133" s="779"/>
      <c r="D133" s="780"/>
    </row>
    <row r="134" spans="1:4" s="144" customFormat="1" ht="15" x14ac:dyDescent="0.2">
      <c r="A134" s="762" t="s">
        <v>343</v>
      </c>
      <c r="B134" s="763"/>
      <c r="C134" s="763"/>
      <c r="D134" s="764"/>
    </row>
    <row r="135" spans="1:4" x14ac:dyDescent="0.2">
      <c r="A135" s="355" t="s">
        <v>145</v>
      </c>
      <c r="B135" s="760" t="s">
        <v>452</v>
      </c>
      <c r="C135" s="761"/>
      <c r="D135" s="350" t="s">
        <v>35</v>
      </c>
    </row>
    <row r="136" spans="1:4" x14ac:dyDescent="0.2">
      <c r="A136" s="355" t="s">
        <v>146</v>
      </c>
      <c r="B136" s="760" t="s">
        <v>630</v>
      </c>
      <c r="C136" s="761"/>
      <c r="D136" s="350" t="s">
        <v>628</v>
      </c>
    </row>
    <row r="137" spans="1:4" x14ac:dyDescent="0.2">
      <c r="A137" s="355" t="s">
        <v>147</v>
      </c>
      <c r="B137" s="760" t="s">
        <v>25</v>
      </c>
      <c r="C137" s="761"/>
      <c r="D137" s="350" t="s">
        <v>631</v>
      </c>
    </row>
    <row r="138" spans="1:4" x14ac:dyDescent="0.2">
      <c r="A138" s="355" t="s">
        <v>148</v>
      </c>
      <c r="B138" s="760" t="s">
        <v>22</v>
      </c>
      <c r="C138" s="761"/>
      <c r="D138" s="350" t="s">
        <v>6</v>
      </c>
    </row>
    <row r="139" spans="1:4" ht="25.5" x14ac:dyDescent="0.2">
      <c r="A139" s="355" t="s">
        <v>149</v>
      </c>
      <c r="B139" s="760" t="s">
        <v>313</v>
      </c>
      <c r="C139" s="761"/>
      <c r="D139" s="350" t="s">
        <v>7</v>
      </c>
    </row>
    <row r="140" spans="1:4" x14ac:dyDescent="0.2">
      <c r="A140" s="355" t="s">
        <v>150</v>
      </c>
      <c r="B140" s="760" t="s">
        <v>260</v>
      </c>
      <c r="C140" s="761"/>
      <c r="D140" s="350" t="s">
        <v>176</v>
      </c>
    </row>
    <row r="141" spans="1:4" x14ac:dyDescent="0.2">
      <c r="A141" s="361" t="s">
        <v>151</v>
      </c>
      <c r="B141" s="768" t="s">
        <v>390</v>
      </c>
      <c r="C141" s="769"/>
      <c r="D141" s="348" t="s">
        <v>350</v>
      </c>
    </row>
    <row r="142" spans="1:4" x14ac:dyDescent="0.2">
      <c r="A142" s="361" t="s">
        <v>152</v>
      </c>
      <c r="B142" s="768" t="s">
        <v>382</v>
      </c>
      <c r="C142" s="769"/>
      <c r="D142" s="348" t="s">
        <v>658</v>
      </c>
    </row>
    <row r="143" spans="1:4" s="144" customFormat="1" ht="15" x14ac:dyDescent="0.2">
      <c r="A143" s="765" t="s">
        <v>344</v>
      </c>
      <c r="B143" s="766"/>
      <c r="C143" s="766"/>
      <c r="D143" s="767"/>
    </row>
    <row r="144" spans="1:4" x14ac:dyDescent="0.2">
      <c r="A144" s="355" t="s">
        <v>153</v>
      </c>
      <c r="B144" s="760" t="s">
        <v>34</v>
      </c>
      <c r="C144" s="761"/>
      <c r="D144" s="350" t="s">
        <v>36</v>
      </c>
    </row>
    <row r="145" spans="1:4" x14ac:dyDescent="0.2">
      <c r="A145" s="355" t="s">
        <v>154</v>
      </c>
      <c r="B145" s="760" t="s">
        <v>629</v>
      </c>
      <c r="C145" s="761"/>
      <c r="D145" s="350" t="s">
        <v>628</v>
      </c>
    </row>
    <row r="146" spans="1:4" x14ac:dyDescent="0.2">
      <c r="A146" s="355" t="s">
        <v>155</v>
      </c>
      <c r="B146" s="760" t="s">
        <v>27</v>
      </c>
      <c r="C146" s="761"/>
      <c r="D146" s="350" t="s">
        <v>652</v>
      </c>
    </row>
    <row r="147" spans="1:4" x14ac:dyDescent="0.2">
      <c r="A147" s="357" t="s">
        <v>156</v>
      </c>
      <c r="B147" s="758" t="s">
        <v>349</v>
      </c>
      <c r="C147" s="759"/>
      <c r="D147" s="351" t="s">
        <v>31</v>
      </c>
    </row>
    <row r="148" spans="1:4" s="658" customFormat="1" ht="15.75" x14ac:dyDescent="0.2">
      <c r="A148" s="795" t="s">
        <v>514</v>
      </c>
      <c r="B148" s="796"/>
      <c r="C148" s="796"/>
      <c r="D148" s="797"/>
    </row>
    <row r="149" spans="1:4" s="659" customFormat="1" ht="14.25" customHeight="1" x14ac:dyDescent="0.2">
      <c r="A149" s="805" t="s">
        <v>585</v>
      </c>
      <c r="B149" s="806"/>
      <c r="C149" s="806"/>
      <c r="D149" s="807"/>
    </row>
    <row r="150" spans="1:4" s="659" customFormat="1" ht="29.25" customHeight="1" x14ac:dyDescent="0.2">
      <c r="A150" s="612" t="s">
        <v>119</v>
      </c>
      <c r="B150" s="801" t="s">
        <v>593</v>
      </c>
      <c r="C150" s="802"/>
      <c r="D150" s="350" t="s">
        <v>592</v>
      </c>
    </row>
    <row r="151" spans="1:4" s="659" customFormat="1" ht="15" customHeight="1" x14ac:dyDescent="0.2">
      <c r="A151" s="612" t="s">
        <v>122</v>
      </c>
      <c r="B151" s="801" t="s">
        <v>534</v>
      </c>
      <c r="C151" s="802"/>
      <c r="D151" s="350" t="s">
        <v>594</v>
      </c>
    </row>
    <row r="152" spans="1:4" s="659" customFormat="1" x14ac:dyDescent="0.2">
      <c r="A152" s="612" t="s">
        <v>124</v>
      </c>
      <c r="B152" s="801" t="s">
        <v>536</v>
      </c>
      <c r="C152" s="802"/>
      <c r="D152" s="350" t="s">
        <v>595</v>
      </c>
    </row>
    <row r="153" spans="1:4" s="659" customFormat="1" x14ac:dyDescent="0.2">
      <c r="A153" s="612" t="s">
        <v>126</v>
      </c>
      <c r="B153" s="801" t="s">
        <v>540</v>
      </c>
      <c r="C153" s="802"/>
      <c r="D153" s="350" t="s">
        <v>596</v>
      </c>
    </row>
    <row r="154" spans="1:4" s="659" customFormat="1" x14ac:dyDescent="0.2">
      <c r="A154" s="612" t="s">
        <v>128</v>
      </c>
      <c r="B154" s="801" t="s">
        <v>541</v>
      </c>
      <c r="C154" s="802"/>
      <c r="D154" s="350" t="s">
        <v>597</v>
      </c>
    </row>
    <row r="155" spans="1:4" s="659" customFormat="1" ht="27.75" customHeight="1" x14ac:dyDescent="0.2">
      <c r="A155" s="612" t="s">
        <v>138</v>
      </c>
      <c r="B155" s="801" t="s">
        <v>647</v>
      </c>
      <c r="C155" s="802"/>
      <c r="D155" s="350" t="s">
        <v>587</v>
      </c>
    </row>
    <row r="156" spans="1:4" s="659" customFormat="1" ht="15" x14ac:dyDescent="0.2">
      <c r="A156" s="504"/>
      <c r="B156" s="781" t="s">
        <v>598</v>
      </c>
      <c r="C156" s="782"/>
      <c r="D156" s="663" t="s">
        <v>599</v>
      </c>
    </row>
    <row r="157" spans="1:4" s="659" customFormat="1" ht="27" customHeight="1" x14ac:dyDescent="0.2">
      <c r="A157" s="504"/>
      <c r="B157" s="781" t="s">
        <v>598</v>
      </c>
      <c r="C157" s="782"/>
      <c r="D157" s="663" t="s">
        <v>599</v>
      </c>
    </row>
    <row r="158" spans="1:4" s="659" customFormat="1" ht="26.25" customHeight="1" x14ac:dyDescent="0.2">
      <c r="A158" s="504"/>
      <c r="B158" s="803" t="s">
        <v>598</v>
      </c>
      <c r="C158" s="804"/>
      <c r="D158" s="663" t="s">
        <v>599</v>
      </c>
    </row>
    <row r="159" spans="1:4" s="659" customFormat="1" ht="14.25" customHeight="1" x14ac:dyDescent="0.2">
      <c r="A159" s="805" t="s">
        <v>511</v>
      </c>
      <c r="B159" s="806"/>
      <c r="C159" s="806"/>
      <c r="D159" s="807"/>
    </row>
    <row r="160" spans="1:4" s="659" customFormat="1" ht="15" customHeight="1" x14ac:dyDescent="0.2">
      <c r="A160" s="612" t="s">
        <v>117</v>
      </c>
      <c r="B160" s="801" t="s">
        <v>463</v>
      </c>
      <c r="C160" s="802"/>
      <c r="D160" s="350" t="s">
        <v>588</v>
      </c>
    </row>
    <row r="161" spans="1:4" s="659" customFormat="1" ht="16.5" customHeight="1" x14ac:dyDescent="0.2">
      <c r="A161" s="612" t="s">
        <v>440</v>
      </c>
      <c r="B161" s="781" t="s">
        <v>646</v>
      </c>
      <c r="C161" s="782"/>
      <c r="D161" s="348" t="s">
        <v>589</v>
      </c>
    </row>
    <row r="162" spans="1:4" s="659" customFormat="1" x14ac:dyDescent="0.2">
      <c r="A162" s="612" t="s">
        <v>134</v>
      </c>
      <c r="B162" s="801" t="s">
        <v>637</v>
      </c>
      <c r="C162" s="802"/>
      <c r="D162" s="348" t="s">
        <v>551</v>
      </c>
    </row>
    <row r="163" spans="1:4" s="659" customFormat="1" ht="26.25" customHeight="1" x14ac:dyDescent="0.2">
      <c r="A163" s="504"/>
      <c r="B163" s="781" t="s">
        <v>598</v>
      </c>
      <c r="C163" s="782"/>
      <c r="D163" s="663" t="s">
        <v>600</v>
      </c>
    </row>
    <row r="164" spans="1:4" s="659" customFormat="1" ht="26.25" customHeight="1" x14ac:dyDescent="0.2">
      <c r="A164" s="504"/>
      <c r="B164" s="781" t="s">
        <v>598</v>
      </c>
      <c r="C164" s="782"/>
      <c r="D164" s="663" t="s">
        <v>600</v>
      </c>
    </row>
    <row r="165" spans="1:4" s="659" customFormat="1" ht="26.25" customHeight="1" x14ac:dyDescent="0.2">
      <c r="A165" s="504"/>
      <c r="B165" s="803" t="s">
        <v>598</v>
      </c>
      <c r="C165" s="804"/>
      <c r="D165" s="663" t="s">
        <v>600</v>
      </c>
    </row>
    <row r="166" spans="1:4" s="659" customFormat="1" ht="15" x14ac:dyDescent="0.2">
      <c r="A166" s="504"/>
      <c r="B166" s="799" t="s">
        <v>590</v>
      </c>
      <c r="C166" s="800"/>
      <c r="D166" s="351" t="s">
        <v>591</v>
      </c>
    </row>
  </sheetData>
  <sheetProtection password="CC7C" sheet="1" objects="1" scenarios="1"/>
  <customSheetViews>
    <customSheetView guid="{4F1DA828-56A9-4F85-92B4-9F65C862495B}" scale="80" showGridLines="0" fitToPage="1">
      <pane ySplit="1" topLeftCell="A2" activePane="bottomLeft" state="frozen"/>
      <selection pane="bottomLeft" activeCell="H16" sqref="H16"/>
      <rowBreaks count="4" manualBreakCount="4">
        <brk id="15" max="2" man="1"/>
        <brk id="47" max="3" man="1"/>
        <brk id="75" max="3" man="1"/>
        <brk id="96" max="3" man="1"/>
      </rowBreaks>
      <pageMargins left="0.5" right="0.5" top="0.65" bottom="0.65" header="0.3" footer="0.26"/>
      <pageSetup scale="73" fitToHeight="0" orientation="landscape" r:id="rId1"/>
      <headerFooter alignWithMargins="0">
        <oddHeader>&amp;L&amp;10[Agency/Organization Name]
[Project Name]&amp;R&amp;10BUSINESS CASE
[Version Number] [Revision Date]</oddHeader>
        <oddFooter>&amp;L&amp;10Based on
DIR Document 10BC-W1-9&amp;C&amp;10Page &amp;P of &amp;N&amp;R&amp;10Business Justification</oddFooter>
      </headerFooter>
    </customSheetView>
    <customSheetView guid="{7AC71C8E-3F0A-447A-859A-02DD2BAED197}" scale="75" showGridLines="0" fitToPage="1" showRuler="0" topLeftCell="A87">
      <selection activeCell="B106" sqref="B106:C106"/>
      <rowBreaks count="1" manualBreakCount="1">
        <brk id="14" max="2" man="1"/>
      </rowBreaks>
      <pageMargins left="0.5" right="0.5" top="0.52" bottom="0.65" header="0.35" footer="0.26"/>
      <pageSetup paperSize="5" fitToHeight="0" orientation="landscape" r:id="rId2"/>
      <headerFooter alignWithMargins="0">
        <oddHeader>&amp;L&amp;10&lt;Agency Name&gt;&amp;C&amp;"Arial,Bold"Instructions&amp;R&amp;10&lt;Project Name&gt;</oddHeader>
        <oddFooter>&amp;L&amp;F&amp;CPage &amp;P of &amp;N&amp;R&amp;D &amp;T</oddFooter>
      </headerFooter>
    </customSheetView>
  </customSheetViews>
  <mergeCells count="161">
    <mergeCell ref="B50:C50"/>
    <mergeCell ref="B51:C51"/>
    <mergeCell ref="B52:C52"/>
    <mergeCell ref="B53:C53"/>
    <mergeCell ref="B87:C87"/>
    <mergeCell ref="B66:C66"/>
    <mergeCell ref="B68:C68"/>
    <mergeCell ref="B69:C69"/>
    <mergeCell ref="B70:C70"/>
    <mergeCell ref="B72:C72"/>
    <mergeCell ref="B73:C73"/>
    <mergeCell ref="B76:C76"/>
    <mergeCell ref="B75:C75"/>
    <mergeCell ref="B67:C67"/>
    <mergeCell ref="B71:C71"/>
    <mergeCell ref="B74:C74"/>
    <mergeCell ref="B80:C80"/>
    <mergeCell ref="B57:C57"/>
    <mergeCell ref="B58:C58"/>
    <mergeCell ref="B59:C59"/>
    <mergeCell ref="B60:C60"/>
    <mergeCell ref="B61:C61"/>
    <mergeCell ref="B62:C62"/>
    <mergeCell ref="B56:C56"/>
    <mergeCell ref="B47:C47"/>
    <mergeCell ref="B48:C48"/>
    <mergeCell ref="B55:C55"/>
    <mergeCell ref="B166:C166"/>
    <mergeCell ref="B160:C160"/>
    <mergeCell ref="B161:C161"/>
    <mergeCell ref="B162:C162"/>
    <mergeCell ref="B163:C163"/>
    <mergeCell ref="B164:C164"/>
    <mergeCell ref="B165:C165"/>
    <mergeCell ref="B157:C157"/>
    <mergeCell ref="B158:C158"/>
    <mergeCell ref="A159:D159"/>
    <mergeCell ref="B156:C156"/>
    <mergeCell ref="B155:C155"/>
    <mergeCell ref="B153:C153"/>
    <mergeCell ref="B154:C154"/>
    <mergeCell ref="B151:C151"/>
    <mergeCell ref="B152:C152"/>
    <mergeCell ref="A148:D148"/>
    <mergeCell ref="B150:C150"/>
    <mergeCell ref="A149:D149"/>
    <mergeCell ref="B49:C49"/>
    <mergeCell ref="B63:C63"/>
    <mergeCell ref="C15:D15"/>
    <mergeCell ref="C16:D16"/>
    <mergeCell ref="A21:D21"/>
    <mergeCell ref="B34:C34"/>
    <mergeCell ref="B35:C35"/>
    <mergeCell ref="B28:C28"/>
    <mergeCell ref="B26:C26"/>
    <mergeCell ref="B27:C27"/>
    <mergeCell ref="B46:C46"/>
    <mergeCell ref="C17:D17"/>
    <mergeCell ref="B30:C30"/>
    <mergeCell ref="B31:C31"/>
    <mergeCell ref="B33:C33"/>
    <mergeCell ref="B36:C36"/>
    <mergeCell ref="B39:C39"/>
    <mergeCell ref="B44:C44"/>
    <mergeCell ref="B45:C45"/>
    <mergeCell ref="B64:C64"/>
    <mergeCell ref="B65:C65"/>
    <mergeCell ref="A2:D2"/>
    <mergeCell ref="A3:D3"/>
    <mergeCell ref="A4:D4"/>
    <mergeCell ref="A5:D5"/>
    <mergeCell ref="A91:D91"/>
    <mergeCell ref="A98:D98"/>
    <mergeCell ref="A78:D78"/>
    <mergeCell ref="A79:D79"/>
    <mergeCell ref="B96:C96"/>
    <mergeCell ref="A6:D6"/>
    <mergeCell ref="B86:C86"/>
    <mergeCell ref="B92:C92"/>
    <mergeCell ref="B93:C93"/>
    <mergeCell ref="B94:C94"/>
    <mergeCell ref="B95:C95"/>
    <mergeCell ref="B97:C97"/>
    <mergeCell ref="B81:C81"/>
    <mergeCell ref="B82:C82"/>
    <mergeCell ref="A77:D77"/>
    <mergeCell ref="B83:C83"/>
    <mergeCell ref="B84:C84"/>
    <mergeCell ref="B85:C85"/>
    <mergeCell ref="B117:C117"/>
    <mergeCell ref="B123:C123"/>
    <mergeCell ref="B131:C131"/>
    <mergeCell ref="B129:C129"/>
    <mergeCell ref="B130:C130"/>
    <mergeCell ref="B120:C120"/>
    <mergeCell ref="B122:C122"/>
    <mergeCell ref="A121:D121"/>
    <mergeCell ref="B116:C116"/>
    <mergeCell ref="B88:C88"/>
    <mergeCell ref="B110:C110"/>
    <mergeCell ref="B111:C111"/>
    <mergeCell ref="B112:C112"/>
    <mergeCell ref="B113:C113"/>
    <mergeCell ref="B115:C115"/>
    <mergeCell ref="A114:D114"/>
    <mergeCell ref="B100:C100"/>
    <mergeCell ref="B104:C104"/>
    <mergeCell ref="B89:C89"/>
    <mergeCell ref="B90:C90"/>
    <mergeCell ref="B108:C108"/>
    <mergeCell ref="B109:C109"/>
    <mergeCell ref="A106:D106"/>
    <mergeCell ref="A105:D105"/>
    <mergeCell ref="B99:C99"/>
    <mergeCell ref="B147:C147"/>
    <mergeCell ref="B145:C145"/>
    <mergeCell ref="B146:C146"/>
    <mergeCell ref="A134:D134"/>
    <mergeCell ref="A143:D143"/>
    <mergeCell ref="B139:C139"/>
    <mergeCell ref="B140:C140"/>
    <mergeCell ref="B141:C141"/>
    <mergeCell ref="B118:C118"/>
    <mergeCell ref="B119:C119"/>
    <mergeCell ref="B144:C144"/>
    <mergeCell ref="B124:C124"/>
    <mergeCell ref="B125:C125"/>
    <mergeCell ref="B127:C127"/>
    <mergeCell ref="B128:C128"/>
    <mergeCell ref="B135:C135"/>
    <mergeCell ref="B136:C136"/>
    <mergeCell ref="B137:C137"/>
    <mergeCell ref="B142:C142"/>
    <mergeCell ref="B138:C138"/>
    <mergeCell ref="A126:D126"/>
    <mergeCell ref="B132:C132"/>
    <mergeCell ref="A133:D133"/>
    <mergeCell ref="C14:D14"/>
    <mergeCell ref="C9:D9"/>
    <mergeCell ref="C10:D10"/>
    <mergeCell ref="C11:D11"/>
    <mergeCell ref="A107:D107"/>
    <mergeCell ref="C12:D12"/>
    <mergeCell ref="C13:D13"/>
    <mergeCell ref="B22:C22"/>
    <mergeCell ref="B20:C20"/>
    <mergeCell ref="B23:C23"/>
    <mergeCell ref="B54:C54"/>
    <mergeCell ref="B38:C38"/>
    <mergeCell ref="B37:C37"/>
    <mergeCell ref="B40:C40"/>
    <mergeCell ref="B41:C41"/>
    <mergeCell ref="B42:C42"/>
    <mergeCell ref="B43:C43"/>
    <mergeCell ref="B24:C24"/>
    <mergeCell ref="B25:C25"/>
    <mergeCell ref="B29:C29"/>
    <mergeCell ref="B32:C32"/>
    <mergeCell ref="B101:C101"/>
    <mergeCell ref="B102:C102"/>
    <mergeCell ref="B103:C103"/>
  </mergeCells>
  <phoneticPr fontId="0" type="noConversion"/>
  <hyperlinks>
    <hyperlink ref="A13" location="Financial_Analysis!A1" display="Financial Analysis"/>
    <hyperlink ref="A10" location="Quantitative_Benefit_Analysis!A1" display="Quantitative Benefit Analysis"/>
    <hyperlink ref="A12" location="'Cost-Benefit_Summary'!A1" display="Cost-Benefit Summary"/>
    <hyperlink ref="A11" location="Evaluation_Factors!A1" display="Evaluation Factors"/>
    <hyperlink ref="A14" location="Selection_Results!A1" display="Selection Results"/>
    <hyperlink ref="A15" location="Cost_Mapping!A1" display="Cost Mapping"/>
    <hyperlink ref="A16" location="Additional_Agency_Information!A1" display="Agency Additional Information"/>
    <hyperlink ref="A9" location="Cost_Analysis!A1" display="Cost Analysis"/>
    <hyperlink ref="A17" location="'Version History'!A1" display="Version History"/>
  </hyperlinks>
  <pageMargins left="0.5" right="0.5" top="0.65" bottom="0.65" header="0.3" footer="0.26"/>
  <pageSetup scale="73" fitToHeight="0" orientation="landscape" cellComments="asDisplayed" r:id="rId3"/>
  <headerFooter alignWithMargins="0">
    <oddHeader>&amp;L&amp;10[Agency/Organization Name]
[Project Name]&amp;R&amp;10BUSINESS CASE
[Version Number] [Revision Date mm/yy/dd]</oddHeader>
    <oddFooter>&amp;L&amp;10Based on DIR Document 10BC-W2-1&amp;C&amp;10&amp;K000000Page &amp;P of &amp;N&amp;R&amp;10Business Justification</oddFooter>
  </headerFooter>
  <rowBreaks count="3" manualBreakCount="3">
    <brk id="18" max="3" man="1"/>
    <brk id="97" max="3" man="1"/>
    <brk id="142" max="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O543"/>
  <sheetViews>
    <sheetView zoomScale="90" zoomScaleNormal="90" workbookViewId="0">
      <pane xSplit="3" ySplit="3" topLeftCell="G28" activePane="bottomRight" state="frozenSplit"/>
      <selection activeCell="E19" sqref="E19"/>
      <selection pane="topRight" activeCell="E19" sqref="E19"/>
      <selection pane="bottomLeft" activeCell="E19" sqref="E19"/>
      <selection pane="bottomRight" activeCell="E163" sqref="E163"/>
    </sheetView>
  </sheetViews>
  <sheetFormatPr defaultColWidth="9" defaultRowHeight="14.25" x14ac:dyDescent="0.2"/>
  <cols>
    <col min="1" max="1" width="8.125" style="8" customWidth="1"/>
    <col min="2" max="2" width="46.25" style="8" customWidth="1"/>
    <col min="3" max="3" width="23.375" style="8" customWidth="1"/>
    <col min="4" max="13" width="12.75" style="8" customWidth="1"/>
    <col min="14" max="14" width="1" style="8" customWidth="1"/>
    <col min="15" max="15" width="14.25" style="15" customWidth="1"/>
    <col min="16" max="16384" width="9" style="8"/>
  </cols>
  <sheetData>
    <row r="1" spans="1:15" s="2" customFormat="1" ht="31.5" customHeight="1" thickBot="1" x14ac:dyDescent="0.25">
      <c r="A1" s="5" t="s">
        <v>733</v>
      </c>
      <c r="B1" s="5"/>
      <c r="C1" s="5"/>
      <c r="D1" s="14"/>
      <c r="E1" s="14"/>
      <c r="F1" s="14"/>
      <c r="G1" s="14"/>
      <c r="H1" s="14"/>
      <c r="I1" s="14"/>
      <c r="J1" s="14"/>
      <c r="K1" s="14"/>
      <c r="L1" s="14"/>
      <c r="N1" s="19"/>
      <c r="O1" s="15"/>
    </row>
    <row r="2" spans="1:15" s="69" customFormat="1" ht="16.5" customHeight="1" thickBot="1" x14ac:dyDescent="0.25">
      <c r="A2" s="74" t="s">
        <v>89</v>
      </c>
      <c r="B2" s="74" t="s">
        <v>76</v>
      </c>
      <c r="C2" s="136"/>
      <c r="D2" s="75" t="s">
        <v>77</v>
      </c>
      <c r="E2" s="75" t="s">
        <v>78</v>
      </c>
      <c r="F2" s="75" t="s">
        <v>79</v>
      </c>
      <c r="G2" s="75" t="s">
        <v>80</v>
      </c>
      <c r="H2" s="75" t="s">
        <v>81</v>
      </c>
      <c r="I2" s="75" t="s">
        <v>82</v>
      </c>
      <c r="J2" s="75" t="s">
        <v>83</v>
      </c>
      <c r="K2" s="75" t="s">
        <v>84</v>
      </c>
      <c r="L2" s="75" t="s">
        <v>85</v>
      </c>
      <c r="M2" s="76" t="s">
        <v>86</v>
      </c>
      <c r="N2" s="80"/>
      <c r="O2" s="10" t="s">
        <v>88</v>
      </c>
    </row>
    <row r="3" spans="1:15" s="69" customFormat="1" ht="12.75" customHeight="1" x14ac:dyDescent="0.2">
      <c r="A3" s="383"/>
      <c r="B3" s="383"/>
      <c r="C3" s="384"/>
      <c r="D3" s="407" t="s">
        <v>717</v>
      </c>
      <c r="E3" s="407" t="s">
        <v>718</v>
      </c>
      <c r="F3" s="407" t="s">
        <v>719</v>
      </c>
      <c r="G3" s="407" t="s">
        <v>720</v>
      </c>
      <c r="H3" s="407" t="s">
        <v>721</v>
      </c>
      <c r="I3" s="407" t="s">
        <v>722</v>
      </c>
      <c r="J3" s="407" t="s">
        <v>723</v>
      </c>
      <c r="K3" s="407" t="s">
        <v>724</v>
      </c>
      <c r="L3" s="407" t="s">
        <v>725</v>
      </c>
      <c r="M3" s="407" t="s">
        <v>726</v>
      </c>
      <c r="N3" s="19"/>
      <c r="O3" s="20"/>
    </row>
    <row r="4" spans="1:15" s="684" customFormat="1" ht="13.5" customHeight="1" x14ac:dyDescent="0.2">
      <c r="A4" s="32"/>
      <c r="B4" s="32" t="s">
        <v>239</v>
      </c>
      <c r="C4" s="809" t="s">
        <v>412</v>
      </c>
      <c r="D4" s="381"/>
      <c r="E4" s="31"/>
      <c r="F4" s="31"/>
      <c r="G4" s="31"/>
      <c r="H4" s="31"/>
      <c r="I4" s="31"/>
      <c r="J4" s="31"/>
      <c r="K4" s="31"/>
      <c r="L4" s="31"/>
      <c r="M4" s="319"/>
      <c r="N4" s="9"/>
      <c r="O4" s="20"/>
    </row>
    <row r="5" spans="1:15" s="684" customFormat="1" ht="27.75" customHeight="1" x14ac:dyDescent="0.2">
      <c r="A5" s="111" t="s">
        <v>441</v>
      </c>
      <c r="B5" s="36" t="s">
        <v>577</v>
      </c>
      <c r="C5" s="810"/>
      <c r="M5" s="685"/>
      <c r="N5" s="23"/>
      <c r="O5" s="33"/>
    </row>
    <row r="6" spans="1:15" s="13" customFormat="1" ht="51" x14ac:dyDescent="0.2">
      <c r="A6" s="112"/>
      <c r="B6" s="37" t="s">
        <v>251</v>
      </c>
      <c r="C6" s="324" t="s">
        <v>713</v>
      </c>
      <c r="D6" s="191">
        <f>Additional_Agency_Information!B79</f>
        <v>53760</v>
      </c>
      <c r="E6" s="192">
        <f>Additional_Agency_Information!C79</f>
        <v>47040</v>
      </c>
      <c r="F6" s="193">
        <v>0</v>
      </c>
      <c r="G6" s="192">
        <v>0</v>
      </c>
      <c r="H6" s="193">
        <v>0</v>
      </c>
      <c r="I6" s="192">
        <v>0</v>
      </c>
      <c r="J6" s="193">
        <v>0</v>
      </c>
      <c r="K6" s="192">
        <v>0</v>
      </c>
      <c r="L6" s="193">
        <v>0</v>
      </c>
      <c r="M6" s="194">
        <v>0</v>
      </c>
      <c r="N6" s="12"/>
      <c r="O6" s="215">
        <f>SUM(D6:M6)</f>
        <v>100800</v>
      </c>
    </row>
    <row r="7" spans="1:15" s="13" customFormat="1" ht="12.75" x14ac:dyDescent="0.2">
      <c r="A7" s="113"/>
      <c r="B7" s="38" t="s">
        <v>244</v>
      </c>
      <c r="C7" s="324"/>
      <c r="D7" s="195"/>
      <c r="E7" s="196"/>
      <c r="F7" s="197">
        <v>0</v>
      </c>
      <c r="G7" s="196">
        <v>0</v>
      </c>
      <c r="H7" s="197">
        <v>0</v>
      </c>
      <c r="I7" s="196">
        <v>0</v>
      </c>
      <c r="J7" s="197">
        <v>0</v>
      </c>
      <c r="K7" s="196">
        <v>0</v>
      </c>
      <c r="L7" s="197">
        <v>0</v>
      </c>
      <c r="M7" s="198">
        <v>0</v>
      </c>
      <c r="N7" s="12"/>
      <c r="O7" s="216">
        <f t="shared" ref="O7:O28" si="0">SUM(D7:M7)</f>
        <v>0</v>
      </c>
    </row>
    <row r="8" spans="1:15" s="13" customFormat="1" ht="12.75" x14ac:dyDescent="0.2">
      <c r="A8" s="113"/>
      <c r="B8" s="38" t="s">
        <v>256</v>
      </c>
      <c r="C8" s="324" t="s">
        <v>727</v>
      </c>
      <c r="D8" s="195">
        <f>Additional_Agency_Information!B81</f>
        <v>132336</v>
      </c>
      <c r="E8" s="196"/>
      <c r="F8" s="197">
        <v>0</v>
      </c>
      <c r="G8" s="196">
        <v>0</v>
      </c>
      <c r="H8" s="197">
        <v>0</v>
      </c>
      <c r="I8" s="196">
        <v>0</v>
      </c>
      <c r="J8" s="197">
        <v>0</v>
      </c>
      <c r="K8" s="196">
        <v>0</v>
      </c>
      <c r="L8" s="197">
        <v>0</v>
      </c>
      <c r="M8" s="198">
        <v>0</v>
      </c>
      <c r="N8" s="12"/>
      <c r="O8" s="216">
        <f t="shared" si="0"/>
        <v>132336</v>
      </c>
    </row>
    <row r="9" spans="1:15" s="13" customFormat="1" ht="38.25" x14ac:dyDescent="0.2">
      <c r="A9" s="113"/>
      <c r="B9" s="38" t="s">
        <v>257</v>
      </c>
      <c r="C9" s="324" t="s">
        <v>714</v>
      </c>
      <c r="D9" s="195"/>
      <c r="E9" s="196"/>
      <c r="F9" s="197">
        <v>0</v>
      </c>
      <c r="G9" s="196">
        <v>0</v>
      </c>
      <c r="H9" s="197">
        <v>0</v>
      </c>
      <c r="I9" s="196">
        <v>0</v>
      </c>
      <c r="J9" s="197">
        <v>0</v>
      </c>
      <c r="K9" s="196">
        <v>0</v>
      </c>
      <c r="L9" s="197">
        <v>0</v>
      </c>
      <c r="M9" s="198">
        <v>0</v>
      </c>
      <c r="N9" s="12"/>
      <c r="O9" s="216">
        <f t="shared" si="0"/>
        <v>0</v>
      </c>
    </row>
    <row r="10" spans="1:15" s="13" customFormat="1" ht="12.75" x14ac:dyDescent="0.2">
      <c r="A10" s="113"/>
      <c r="B10" s="38" t="s">
        <v>258</v>
      </c>
      <c r="C10" s="324" t="s">
        <v>727</v>
      </c>
      <c r="D10" s="195">
        <f>Additional_Agency_Information!B83</f>
        <v>31680</v>
      </c>
      <c r="E10" s="196"/>
      <c r="F10" s="197">
        <v>0</v>
      </c>
      <c r="G10" s="196">
        <v>0</v>
      </c>
      <c r="H10" s="197">
        <v>0</v>
      </c>
      <c r="I10" s="196">
        <v>0</v>
      </c>
      <c r="J10" s="197">
        <v>0</v>
      </c>
      <c r="K10" s="196">
        <v>0</v>
      </c>
      <c r="L10" s="197">
        <v>0</v>
      </c>
      <c r="M10" s="198">
        <v>0</v>
      </c>
      <c r="N10" s="12"/>
      <c r="O10" s="216">
        <f t="shared" si="0"/>
        <v>31680</v>
      </c>
    </row>
    <row r="11" spans="1:15" s="13" customFormat="1" ht="25.5" x14ac:dyDescent="0.2">
      <c r="A11" s="113"/>
      <c r="B11" s="38" t="s">
        <v>252</v>
      </c>
      <c r="C11" s="324" t="s">
        <v>715</v>
      </c>
      <c r="D11" s="195"/>
      <c r="E11" s="196"/>
      <c r="F11" s="197">
        <v>0</v>
      </c>
      <c r="G11" s="196">
        <v>0</v>
      </c>
      <c r="H11" s="197">
        <v>0</v>
      </c>
      <c r="I11" s="196">
        <v>0</v>
      </c>
      <c r="J11" s="197">
        <v>0</v>
      </c>
      <c r="K11" s="196">
        <v>0</v>
      </c>
      <c r="L11" s="197">
        <v>0</v>
      </c>
      <c r="M11" s="198">
        <v>0</v>
      </c>
      <c r="N11" s="12"/>
      <c r="O11" s="216">
        <f t="shared" si="0"/>
        <v>0</v>
      </c>
    </row>
    <row r="12" spans="1:15" s="13" customFormat="1" ht="12.75" x14ac:dyDescent="0.2">
      <c r="A12" s="113"/>
      <c r="B12" s="38" t="s">
        <v>245</v>
      </c>
      <c r="C12" s="324" t="s">
        <v>716</v>
      </c>
      <c r="D12" s="195"/>
      <c r="E12" s="196"/>
      <c r="F12" s="197">
        <v>0</v>
      </c>
      <c r="G12" s="196">
        <v>0</v>
      </c>
      <c r="H12" s="197">
        <v>0</v>
      </c>
      <c r="I12" s="196">
        <v>0</v>
      </c>
      <c r="J12" s="197">
        <v>0</v>
      </c>
      <c r="K12" s="196">
        <v>0</v>
      </c>
      <c r="L12" s="197">
        <v>0</v>
      </c>
      <c r="M12" s="198">
        <v>0</v>
      </c>
      <c r="N12" s="12"/>
      <c r="O12" s="216">
        <f t="shared" si="0"/>
        <v>0</v>
      </c>
    </row>
    <row r="13" spans="1:15" s="13" customFormat="1" ht="38.25" x14ac:dyDescent="0.2">
      <c r="A13" s="113"/>
      <c r="B13" s="38" t="s">
        <v>253</v>
      </c>
      <c r="C13" s="324" t="s">
        <v>751</v>
      </c>
      <c r="D13" s="195"/>
      <c r="E13" s="196"/>
      <c r="F13" s="197">
        <v>0</v>
      </c>
      <c r="G13" s="196">
        <v>0</v>
      </c>
      <c r="H13" s="197">
        <v>0</v>
      </c>
      <c r="I13" s="196">
        <v>0</v>
      </c>
      <c r="J13" s="197">
        <v>0</v>
      </c>
      <c r="K13" s="196">
        <v>0</v>
      </c>
      <c r="L13" s="197">
        <v>0</v>
      </c>
      <c r="M13" s="198">
        <v>0</v>
      </c>
      <c r="N13" s="12"/>
      <c r="O13" s="216">
        <f>SUM(D13:M13)</f>
        <v>0</v>
      </c>
    </row>
    <row r="14" spans="1:15" s="13" customFormat="1" ht="12.75" x14ac:dyDescent="0.2">
      <c r="A14" s="113"/>
      <c r="B14" s="38" t="s">
        <v>37</v>
      </c>
      <c r="C14" s="324"/>
      <c r="D14" s="195"/>
      <c r="E14" s="196"/>
      <c r="F14" s="197">
        <v>0</v>
      </c>
      <c r="G14" s="196">
        <v>0</v>
      </c>
      <c r="H14" s="197">
        <v>0</v>
      </c>
      <c r="I14" s="196">
        <v>0</v>
      </c>
      <c r="J14" s="197">
        <v>0</v>
      </c>
      <c r="K14" s="196">
        <v>0</v>
      </c>
      <c r="L14" s="197">
        <v>0</v>
      </c>
      <c r="M14" s="198">
        <v>0</v>
      </c>
      <c r="N14" s="12"/>
      <c r="O14" s="216">
        <f t="shared" si="0"/>
        <v>0</v>
      </c>
    </row>
    <row r="15" spans="1:15" s="13" customFormat="1" ht="12.75" x14ac:dyDescent="0.2">
      <c r="A15" s="113"/>
      <c r="B15" s="38" t="s">
        <v>246</v>
      </c>
      <c r="C15" s="727" t="s">
        <v>727</v>
      </c>
      <c r="D15" s="195">
        <f>Additional_Agency_Information!B88</f>
        <v>22200</v>
      </c>
      <c r="E15" s="196"/>
      <c r="F15" s="197">
        <v>0</v>
      </c>
      <c r="G15" s="196">
        <v>0</v>
      </c>
      <c r="H15" s="197">
        <v>0</v>
      </c>
      <c r="I15" s="196">
        <v>0</v>
      </c>
      <c r="J15" s="197">
        <v>0</v>
      </c>
      <c r="K15" s="196">
        <v>0</v>
      </c>
      <c r="L15" s="197">
        <v>0</v>
      </c>
      <c r="M15" s="198">
        <v>0</v>
      </c>
      <c r="N15" s="12"/>
      <c r="O15" s="216">
        <f t="shared" si="0"/>
        <v>22200</v>
      </c>
    </row>
    <row r="16" spans="1:15" s="13" customFormat="1" ht="12.75" x14ac:dyDescent="0.2">
      <c r="A16" s="113"/>
      <c r="B16" s="38" t="s">
        <v>247</v>
      </c>
      <c r="C16" s="727" t="s">
        <v>727</v>
      </c>
      <c r="D16" s="195">
        <f>Additional_Agency_Information!B89</f>
        <v>24000</v>
      </c>
      <c r="E16" s="196"/>
      <c r="F16" s="197">
        <v>0</v>
      </c>
      <c r="G16" s="196">
        <v>0</v>
      </c>
      <c r="H16" s="197">
        <v>0</v>
      </c>
      <c r="I16" s="196">
        <v>0</v>
      </c>
      <c r="J16" s="197">
        <v>0</v>
      </c>
      <c r="K16" s="196">
        <v>0</v>
      </c>
      <c r="L16" s="197">
        <v>0</v>
      </c>
      <c r="M16" s="198">
        <v>0</v>
      </c>
      <c r="N16" s="12"/>
      <c r="O16" s="216">
        <f t="shared" si="0"/>
        <v>24000</v>
      </c>
    </row>
    <row r="17" spans="1:15" s="13" customFormat="1" ht="12.75" x14ac:dyDescent="0.2">
      <c r="A17" s="113"/>
      <c r="B17" s="38" t="s">
        <v>248</v>
      </c>
      <c r="C17" s="727" t="s">
        <v>727</v>
      </c>
      <c r="D17" s="195">
        <f>Additional_Agency_Information!B90</f>
        <v>31680</v>
      </c>
      <c r="E17" s="196"/>
      <c r="F17" s="197">
        <v>0</v>
      </c>
      <c r="G17" s="196">
        <v>0</v>
      </c>
      <c r="H17" s="197">
        <v>0</v>
      </c>
      <c r="I17" s="196">
        <v>0</v>
      </c>
      <c r="J17" s="197">
        <v>0</v>
      </c>
      <c r="K17" s="196">
        <v>0</v>
      </c>
      <c r="L17" s="197">
        <v>0</v>
      </c>
      <c r="M17" s="198">
        <v>0</v>
      </c>
      <c r="N17" s="12"/>
      <c r="O17" s="216">
        <f t="shared" si="0"/>
        <v>31680</v>
      </c>
    </row>
    <row r="18" spans="1:15" s="13" customFormat="1" ht="12.75" x14ac:dyDescent="0.2">
      <c r="A18" s="113"/>
      <c r="B18" s="38" t="s">
        <v>254</v>
      </c>
      <c r="C18" s="324"/>
      <c r="D18" s="195"/>
      <c r="E18" s="196"/>
      <c r="F18" s="197">
        <v>0</v>
      </c>
      <c r="G18" s="196">
        <v>0</v>
      </c>
      <c r="H18" s="197">
        <v>0</v>
      </c>
      <c r="I18" s="196">
        <v>0</v>
      </c>
      <c r="J18" s="197">
        <v>0</v>
      </c>
      <c r="K18" s="196">
        <v>0</v>
      </c>
      <c r="L18" s="197">
        <v>0</v>
      </c>
      <c r="M18" s="198">
        <v>0</v>
      </c>
      <c r="N18" s="12"/>
      <c r="O18" s="216">
        <f t="shared" si="0"/>
        <v>0</v>
      </c>
    </row>
    <row r="19" spans="1:15" s="13" customFormat="1" ht="12.75" x14ac:dyDescent="0.2">
      <c r="A19" s="114"/>
      <c r="B19" s="52" t="s">
        <v>249</v>
      </c>
      <c r="C19" s="324"/>
      <c r="D19" s="195"/>
      <c r="E19" s="196"/>
      <c r="F19" s="197">
        <v>0</v>
      </c>
      <c r="G19" s="196">
        <v>0</v>
      </c>
      <c r="H19" s="197">
        <v>0</v>
      </c>
      <c r="I19" s="196">
        <v>0</v>
      </c>
      <c r="J19" s="197">
        <v>0</v>
      </c>
      <c r="K19" s="196">
        <v>0</v>
      </c>
      <c r="L19" s="197">
        <v>0</v>
      </c>
      <c r="M19" s="198">
        <v>0</v>
      </c>
      <c r="N19" s="12"/>
      <c r="O19" s="216">
        <f t="shared" si="0"/>
        <v>0</v>
      </c>
    </row>
    <row r="20" spans="1:15" s="13" customFormat="1" ht="12.75" x14ac:dyDescent="0.2">
      <c r="A20" s="114"/>
      <c r="B20" s="52" t="s">
        <v>250</v>
      </c>
      <c r="C20" s="324"/>
      <c r="D20" s="195"/>
      <c r="E20" s="196"/>
      <c r="F20" s="197">
        <v>0</v>
      </c>
      <c r="G20" s="196">
        <v>0</v>
      </c>
      <c r="H20" s="197">
        <v>0</v>
      </c>
      <c r="I20" s="196">
        <v>0</v>
      </c>
      <c r="J20" s="197">
        <v>0</v>
      </c>
      <c r="K20" s="196">
        <v>0</v>
      </c>
      <c r="L20" s="197">
        <v>0</v>
      </c>
      <c r="M20" s="198">
        <v>0</v>
      </c>
      <c r="N20" s="12"/>
      <c r="O20" s="216">
        <f t="shared" si="0"/>
        <v>0</v>
      </c>
    </row>
    <row r="21" spans="1:15" s="13" customFormat="1" ht="12.75" x14ac:dyDescent="0.2">
      <c r="A21" s="113"/>
      <c r="B21" s="52" t="s">
        <v>469</v>
      </c>
      <c r="C21" s="324"/>
      <c r="D21" s="195"/>
      <c r="E21" s="196"/>
      <c r="F21" s="197">
        <v>0</v>
      </c>
      <c r="G21" s="196">
        <v>0</v>
      </c>
      <c r="H21" s="197">
        <v>0</v>
      </c>
      <c r="I21" s="196">
        <v>0</v>
      </c>
      <c r="J21" s="197">
        <v>0</v>
      </c>
      <c r="K21" s="196">
        <v>0</v>
      </c>
      <c r="L21" s="197">
        <v>0</v>
      </c>
      <c r="M21" s="198">
        <v>0</v>
      </c>
      <c r="N21" s="12"/>
      <c r="O21" s="216">
        <f t="shared" ref="O21" si="1">SUM(D21:M21)</f>
        <v>0</v>
      </c>
    </row>
    <row r="22" spans="1:15" s="13" customFormat="1" ht="25.5" x14ac:dyDescent="0.2">
      <c r="A22" s="114"/>
      <c r="B22" s="269" t="s">
        <v>742</v>
      </c>
      <c r="C22" s="324" t="s">
        <v>748</v>
      </c>
      <c r="D22" s="195"/>
      <c r="E22" s="196">
        <f>Additional_Agency_Information!C95</f>
        <v>88224</v>
      </c>
      <c r="F22" s="197">
        <v>0</v>
      </c>
      <c r="G22" s="196">
        <v>0</v>
      </c>
      <c r="H22" s="197">
        <v>0</v>
      </c>
      <c r="I22" s="196">
        <v>0</v>
      </c>
      <c r="J22" s="197">
        <v>0</v>
      </c>
      <c r="K22" s="196">
        <v>0</v>
      </c>
      <c r="L22" s="197">
        <v>0</v>
      </c>
      <c r="M22" s="198">
        <v>0</v>
      </c>
      <c r="N22" s="12"/>
      <c r="O22" s="216">
        <f t="shared" si="0"/>
        <v>88224</v>
      </c>
    </row>
    <row r="23" spans="1:15" s="13" customFormat="1" ht="12.75" x14ac:dyDescent="0.2">
      <c r="A23" s="114"/>
      <c r="B23" s="269" t="s">
        <v>460</v>
      </c>
      <c r="C23" s="324"/>
      <c r="D23" s="195"/>
      <c r="E23" s="196"/>
      <c r="F23" s="197">
        <v>0</v>
      </c>
      <c r="G23" s="196">
        <v>0</v>
      </c>
      <c r="H23" s="197">
        <v>0</v>
      </c>
      <c r="I23" s="196">
        <v>0</v>
      </c>
      <c r="J23" s="197">
        <v>0</v>
      </c>
      <c r="K23" s="196">
        <v>0</v>
      </c>
      <c r="L23" s="197">
        <v>0</v>
      </c>
      <c r="M23" s="198">
        <v>0</v>
      </c>
      <c r="N23" s="12"/>
      <c r="O23" s="216">
        <f t="shared" ref="O23" si="2">SUM(D23:M23)</f>
        <v>0</v>
      </c>
    </row>
    <row r="24" spans="1:15" s="13" customFormat="1" ht="12.75" x14ac:dyDescent="0.2">
      <c r="A24" s="114"/>
      <c r="B24" s="269" t="s">
        <v>460</v>
      </c>
      <c r="C24" s="324"/>
      <c r="D24" s="195"/>
      <c r="E24" s="196"/>
      <c r="F24" s="197">
        <v>0</v>
      </c>
      <c r="G24" s="196">
        <v>0</v>
      </c>
      <c r="H24" s="197">
        <v>0</v>
      </c>
      <c r="I24" s="196">
        <v>0</v>
      </c>
      <c r="J24" s="197">
        <v>0</v>
      </c>
      <c r="K24" s="196">
        <v>0</v>
      </c>
      <c r="L24" s="197">
        <v>0</v>
      </c>
      <c r="M24" s="198">
        <v>0</v>
      </c>
      <c r="N24" s="12"/>
      <c r="O24" s="216">
        <f t="shared" si="0"/>
        <v>0</v>
      </c>
    </row>
    <row r="25" spans="1:15" s="12" customFormat="1" ht="28.5" customHeight="1" thickBot="1" x14ac:dyDescent="0.25">
      <c r="A25" s="115"/>
      <c r="B25" s="89" t="s">
        <v>582</v>
      </c>
      <c r="C25" s="307"/>
      <c r="D25" s="418">
        <f t="shared" ref="D25:M25" si="3">SUM(D6:D24)</f>
        <v>295656</v>
      </c>
      <c r="E25" s="94">
        <f t="shared" si="3"/>
        <v>135264</v>
      </c>
      <c r="F25" s="94">
        <f t="shared" si="3"/>
        <v>0</v>
      </c>
      <c r="G25" s="94">
        <f t="shared" si="3"/>
        <v>0</v>
      </c>
      <c r="H25" s="94">
        <f t="shared" si="3"/>
        <v>0</v>
      </c>
      <c r="I25" s="94">
        <f t="shared" si="3"/>
        <v>0</v>
      </c>
      <c r="J25" s="94">
        <f t="shared" si="3"/>
        <v>0</v>
      </c>
      <c r="K25" s="94">
        <f t="shared" si="3"/>
        <v>0</v>
      </c>
      <c r="L25" s="94">
        <f t="shared" si="3"/>
        <v>0</v>
      </c>
      <c r="M25" s="322">
        <f t="shared" si="3"/>
        <v>0</v>
      </c>
      <c r="N25" s="202"/>
      <c r="O25" s="7">
        <f>SUM(O6:O24)</f>
        <v>430920</v>
      </c>
    </row>
    <row r="26" spans="1:15" s="13" customFormat="1" ht="30" customHeight="1" x14ac:dyDescent="0.2">
      <c r="A26" s="116" t="s">
        <v>439</v>
      </c>
      <c r="B26" s="35" t="s">
        <v>462</v>
      </c>
      <c r="C26" s="385"/>
      <c r="D26" s="50"/>
      <c r="E26" s="50"/>
      <c r="F26" s="50"/>
      <c r="G26" s="50"/>
      <c r="H26" s="50"/>
      <c r="I26" s="50"/>
      <c r="J26" s="50"/>
      <c r="K26" s="50"/>
      <c r="L26" s="50"/>
      <c r="M26" s="50"/>
      <c r="N26" s="23"/>
      <c r="O26" s="222"/>
    </row>
    <row r="27" spans="1:15" s="13" customFormat="1" ht="12.75" x14ac:dyDescent="0.2">
      <c r="A27" s="112"/>
      <c r="B27" s="37" t="s">
        <v>437</v>
      </c>
      <c r="C27" s="727" t="s">
        <v>727</v>
      </c>
      <c r="D27" s="191">
        <v>0</v>
      </c>
      <c r="E27" s="192">
        <v>0</v>
      </c>
      <c r="F27" s="193">
        <f>Additional_Agency_Information!D125</f>
        <v>71400</v>
      </c>
      <c r="G27" s="192">
        <f>Additional_Agency_Information!E125</f>
        <v>71400</v>
      </c>
      <c r="H27" s="193">
        <f>Additional_Agency_Information!F125</f>
        <v>71400</v>
      </c>
      <c r="I27" s="192">
        <f>Additional_Agency_Information!G125</f>
        <v>71400</v>
      </c>
      <c r="J27" s="193">
        <f>Additional_Agency_Information!H125</f>
        <v>71400</v>
      </c>
      <c r="K27" s="192">
        <f>Additional_Agency_Information!I125</f>
        <v>71400</v>
      </c>
      <c r="L27" s="193">
        <f>Additional_Agency_Information!J125</f>
        <v>71400</v>
      </c>
      <c r="M27" s="194">
        <f>Additional_Agency_Information!K125</f>
        <v>71400</v>
      </c>
      <c r="N27" s="12"/>
      <c r="O27" s="215">
        <f t="shared" si="0"/>
        <v>571200</v>
      </c>
    </row>
    <row r="28" spans="1:15" s="13" customFormat="1" ht="12.75" x14ac:dyDescent="0.2">
      <c r="A28" s="114"/>
      <c r="B28" s="52" t="s">
        <v>436</v>
      </c>
      <c r="C28" s="324"/>
      <c r="D28" s="195">
        <v>0</v>
      </c>
      <c r="E28" s="196">
        <v>0</v>
      </c>
      <c r="F28" s="197">
        <v>0</v>
      </c>
      <c r="G28" s="196">
        <v>0</v>
      </c>
      <c r="H28" s="197">
        <v>0</v>
      </c>
      <c r="I28" s="196">
        <v>0</v>
      </c>
      <c r="J28" s="197">
        <v>0</v>
      </c>
      <c r="K28" s="196">
        <v>0</v>
      </c>
      <c r="L28" s="197">
        <v>0</v>
      </c>
      <c r="M28" s="198">
        <v>0</v>
      </c>
      <c r="N28" s="12"/>
      <c r="O28" s="216">
        <f t="shared" si="0"/>
        <v>0</v>
      </c>
    </row>
    <row r="29" spans="1:15" s="12" customFormat="1" ht="13.5" thickBot="1" x14ac:dyDescent="0.25">
      <c r="A29" s="115"/>
      <c r="B29" s="89" t="s">
        <v>461</v>
      </c>
      <c r="C29" s="307"/>
      <c r="D29" s="418">
        <f>SUM(D27:D28)</f>
        <v>0</v>
      </c>
      <c r="E29" s="419">
        <f t="shared" ref="E29:M29" si="4">SUM(E27:E28)</f>
        <v>0</v>
      </c>
      <c r="F29" s="419">
        <f t="shared" si="4"/>
        <v>71400</v>
      </c>
      <c r="G29" s="419">
        <f t="shared" si="4"/>
        <v>71400</v>
      </c>
      <c r="H29" s="419">
        <f t="shared" si="4"/>
        <v>71400</v>
      </c>
      <c r="I29" s="419">
        <f t="shared" si="4"/>
        <v>71400</v>
      </c>
      <c r="J29" s="419">
        <f t="shared" si="4"/>
        <v>71400</v>
      </c>
      <c r="K29" s="419">
        <f t="shared" si="4"/>
        <v>71400</v>
      </c>
      <c r="L29" s="419">
        <f t="shared" si="4"/>
        <v>71400</v>
      </c>
      <c r="M29" s="322">
        <f t="shared" si="4"/>
        <v>71400</v>
      </c>
      <c r="N29" s="202"/>
      <c r="O29" s="7">
        <f>SUM(O27:O28)</f>
        <v>571200</v>
      </c>
    </row>
    <row r="30" spans="1:15" s="13" customFormat="1" ht="12.75" x14ac:dyDescent="0.2">
      <c r="A30" s="114" t="s">
        <v>116</v>
      </c>
      <c r="B30" s="52" t="str">
        <f>Instructions!B23</f>
        <v>Project Agency Personnel Fringe Benefits</v>
      </c>
      <c r="C30" s="690"/>
      <c r="D30" s="611">
        <f>(D25+D29)*0.2974</f>
        <v>87928.094400000002</v>
      </c>
      <c r="E30" s="611">
        <f>(E25+E29)*0.2974</f>
        <v>40227.513599999998</v>
      </c>
      <c r="F30" s="611">
        <f t="shared" ref="F30:M30" si="5">(F25+F29)*0.2974</f>
        <v>21234.36</v>
      </c>
      <c r="G30" s="611">
        <f t="shared" si="5"/>
        <v>21234.36</v>
      </c>
      <c r="H30" s="611">
        <f t="shared" si="5"/>
        <v>21234.36</v>
      </c>
      <c r="I30" s="611">
        <f t="shared" si="5"/>
        <v>21234.36</v>
      </c>
      <c r="J30" s="611">
        <f t="shared" si="5"/>
        <v>21234.36</v>
      </c>
      <c r="K30" s="611">
        <f t="shared" si="5"/>
        <v>21234.36</v>
      </c>
      <c r="L30" s="611">
        <f t="shared" si="5"/>
        <v>21234.36</v>
      </c>
      <c r="M30" s="611">
        <f t="shared" si="5"/>
        <v>21234.36</v>
      </c>
      <c r="N30" s="12"/>
      <c r="O30" s="216">
        <f>SUM(D30:M30)</f>
        <v>298030.4879999999</v>
      </c>
    </row>
    <row r="31" spans="1:15" s="12" customFormat="1" ht="13.5" thickBot="1" x14ac:dyDescent="0.25">
      <c r="A31" s="115" t="s">
        <v>117</v>
      </c>
      <c r="B31" s="89" t="str">
        <f>Instructions!B24</f>
        <v>Total Project Agency Personnel Costs</v>
      </c>
      <c r="C31" s="307"/>
      <c r="D31" s="418">
        <f>D25+D29+D30</f>
        <v>383584.0944</v>
      </c>
      <c r="E31" s="419">
        <f t="shared" ref="E31:M31" si="6">E25+E29+E30</f>
        <v>175491.51360000001</v>
      </c>
      <c r="F31" s="419">
        <f t="shared" si="6"/>
        <v>92634.36</v>
      </c>
      <c r="G31" s="419">
        <f t="shared" si="6"/>
        <v>92634.36</v>
      </c>
      <c r="H31" s="419">
        <f t="shared" si="6"/>
        <v>92634.36</v>
      </c>
      <c r="I31" s="419">
        <f t="shared" si="6"/>
        <v>92634.36</v>
      </c>
      <c r="J31" s="419">
        <f t="shared" si="6"/>
        <v>92634.36</v>
      </c>
      <c r="K31" s="419">
        <f t="shared" si="6"/>
        <v>92634.36</v>
      </c>
      <c r="L31" s="419">
        <f t="shared" si="6"/>
        <v>92634.36</v>
      </c>
      <c r="M31" s="322">
        <f t="shared" si="6"/>
        <v>92634.36</v>
      </c>
      <c r="N31" s="202"/>
      <c r="O31" s="7">
        <f>SUM(D31:M31)</f>
        <v>1300150.4880000001</v>
      </c>
    </row>
    <row r="32" spans="1:15" s="13" customFormat="1" ht="25.5" x14ac:dyDescent="0.2">
      <c r="A32" s="506" t="s">
        <v>464</v>
      </c>
      <c r="B32" s="507" t="s">
        <v>465</v>
      </c>
      <c r="C32" s="508"/>
      <c r="D32" s="509"/>
      <c r="E32" s="509"/>
      <c r="F32" s="509"/>
      <c r="G32" s="509"/>
      <c r="H32" s="509"/>
      <c r="I32" s="509"/>
      <c r="J32" s="509"/>
      <c r="K32" s="509"/>
      <c r="L32" s="509"/>
      <c r="M32" s="509"/>
      <c r="N32" s="510"/>
      <c r="O32" s="511"/>
    </row>
    <row r="33" spans="1:15" s="13" customFormat="1" ht="12.75" x14ac:dyDescent="0.2">
      <c r="A33" s="512"/>
      <c r="B33" s="513" t="s">
        <v>437</v>
      </c>
      <c r="C33" s="514"/>
      <c r="D33" s="515">
        <v>0</v>
      </c>
      <c r="E33" s="516">
        <v>0</v>
      </c>
      <c r="F33" s="516">
        <v>0</v>
      </c>
      <c r="G33" s="516">
        <v>0</v>
      </c>
      <c r="H33" s="516">
        <v>0</v>
      </c>
      <c r="I33" s="516">
        <v>0</v>
      </c>
      <c r="J33" s="516">
        <v>0</v>
      </c>
      <c r="K33" s="516">
        <v>0</v>
      </c>
      <c r="L33" s="516">
        <v>0</v>
      </c>
      <c r="M33" s="517">
        <v>0</v>
      </c>
      <c r="N33" s="518"/>
      <c r="O33" s="519">
        <f t="shared" ref="O33:O34" si="7">SUM(D33:M33)</f>
        <v>0</v>
      </c>
    </row>
    <row r="34" spans="1:15" s="13" customFormat="1" ht="12.75" x14ac:dyDescent="0.2">
      <c r="A34" s="520"/>
      <c r="B34" s="521" t="s">
        <v>436</v>
      </c>
      <c r="C34" s="522"/>
      <c r="D34" s="523">
        <v>0</v>
      </c>
      <c r="E34" s="524">
        <v>0</v>
      </c>
      <c r="F34" s="524">
        <v>0</v>
      </c>
      <c r="G34" s="524">
        <v>0</v>
      </c>
      <c r="H34" s="524">
        <v>0</v>
      </c>
      <c r="I34" s="524">
        <v>0</v>
      </c>
      <c r="J34" s="524">
        <v>0</v>
      </c>
      <c r="K34" s="524">
        <v>0</v>
      </c>
      <c r="L34" s="524">
        <v>0</v>
      </c>
      <c r="M34" s="525">
        <v>0</v>
      </c>
      <c r="N34" s="518"/>
      <c r="O34" s="526">
        <f t="shared" si="7"/>
        <v>0</v>
      </c>
    </row>
    <row r="35" spans="1:15" s="12" customFormat="1" ht="27.75" customHeight="1" thickBot="1" x14ac:dyDescent="0.25">
      <c r="A35" s="527"/>
      <c r="B35" s="528" t="s">
        <v>578</v>
      </c>
      <c r="C35" s="529"/>
      <c r="D35" s="530">
        <f>SUM(D33:D34)</f>
        <v>0</v>
      </c>
      <c r="E35" s="531">
        <f t="shared" ref="E35:M35" si="8">SUM(E33:E34)</f>
        <v>0</v>
      </c>
      <c r="F35" s="531">
        <f t="shared" si="8"/>
        <v>0</v>
      </c>
      <c r="G35" s="531">
        <f t="shared" si="8"/>
        <v>0</v>
      </c>
      <c r="H35" s="531">
        <f t="shared" si="8"/>
        <v>0</v>
      </c>
      <c r="I35" s="531">
        <f t="shared" si="8"/>
        <v>0</v>
      </c>
      <c r="J35" s="531">
        <f t="shared" si="8"/>
        <v>0</v>
      </c>
      <c r="K35" s="531">
        <f t="shared" si="8"/>
        <v>0</v>
      </c>
      <c r="L35" s="531">
        <f t="shared" si="8"/>
        <v>0</v>
      </c>
      <c r="M35" s="532">
        <f t="shared" si="8"/>
        <v>0</v>
      </c>
      <c r="N35" s="533"/>
      <c r="O35" s="534">
        <f>SUM(D35:M35)</f>
        <v>0</v>
      </c>
    </row>
    <row r="36" spans="1:15" s="13" customFormat="1" ht="13.15" customHeight="1" x14ac:dyDescent="0.2">
      <c r="A36" s="520" t="s">
        <v>466</v>
      </c>
      <c r="B36" s="521" t="str">
        <f>Instructions!B26</f>
        <v>Non-Project/Operational Agency Personnel Fringe Benefits</v>
      </c>
      <c r="C36" s="522"/>
      <c r="D36" s="691">
        <f>(D35)*0.2974</f>
        <v>0</v>
      </c>
      <c r="E36" s="691">
        <f t="shared" ref="E36:M36" si="9">(E35)*0.2974</f>
        <v>0</v>
      </c>
      <c r="F36" s="691">
        <f t="shared" si="9"/>
        <v>0</v>
      </c>
      <c r="G36" s="691">
        <f t="shared" si="9"/>
        <v>0</v>
      </c>
      <c r="H36" s="691">
        <f>(H35)*0.2974</f>
        <v>0</v>
      </c>
      <c r="I36" s="691">
        <f t="shared" si="9"/>
        <v>0</v>
      </c>
      <c r="J36" s="691">
        <f t="shared" si="9"/>
        <v>0</v>
      </c>
      <c r="K36" s="691">
        <f t="shared" si="9"/>
        <v>0</v>
      </c>
      <c r="L36" s="691">
        <f t="shared" si="9"/>
        <v>0</v>
      </c>
      <c r="M36" s="691">
        <f t="shared" si="9"/>
        <v>0</v>
      </c>
      <c r="N36" s="518"/>
      <c r="O36" s="526">
        <f>SUM(D36:M36)</f>
        <v>0</v>
      </c>
    </row>
    <row r="37" spans="1:15" s="12" customFormat="1" ht="26.25" customHeight="1" thickBot="1" x14ac:dyDescent="0.25">
      <c r="A37" s="527" t="s">
        <v>467</v>
      </c>
      <c r="B37" s="528" t="s">
        <v>468</v>
      </c>
      <c r="C37" s="529"/>
      <c r="D37" s="530">
        <f>D35+D36</f>
        <v>0</v>
      </c>
      <c r="E37" s="535">
        <f t="shared" ref="E37:M37" si="10">E35+E36</f>
        <v>0</v>
      </c>
      <c r="F37" s="535">
        <f t="shared" si="10"/>
        <v>0</v>
      </c>
      <c r="G37" s="535">
        <f t="shared" si="10"/>
        <v>0</v>
      </c>
      <c r="H37" s="535">
        <f t="shared" si="10"/>
        <v>0</v>
      </c>
      <c r="I37" s="535">
        <f t="shared" si="10"/>
        <v>0</v>
      </c>
      <c r="J37" s="535">
        <f t="shared" si="10"/>
        <v>0</v>
      </c>
      <c r="K37" s="535">
        <f t="shared" si="10"/>
        <v>0</v>
      </c>
      <c r="L37" s="535">
        <f t="shared" si="10"/>
        <v>0</v>
      </c>
      <c r="M37" s="532">
        <f t="shared" si="10"/>
        <v>0</v>
      </c>
      <c r="N37" s="533"/>
      <c r="O37" s="534">
        <f>SUM(D37:M37)</f>
        <v>0</v>
      </c>
    </row>
    <row r="38" spans="1:15" s="13" customFormat="1" ht="25.5" customHeight="1" x14ac:dyDescent="0.2">
      <c r="A38" s="116" t="s">
        <v>440</v>
      </c>
      <c r="B38" s="35" t="s">
        <v>579</v>
      </c>
      <c r="C38" s="385"/>
      <c r="D38" s="50"/>
      <c r="E38" s="50"/>
      <c r="F38" s="50"/>
      <c r="G38" s="50"/>
      <c r="H38" s="50"/>
      <c r="I38" s="50"/>
      <c r="J38" s="50"/>
      <c r="K38" s="50"/>
      <c r="L38" s="50"/>
      <c r="M38" s="50"/>
      <c r="N38" s="23"/>
      <c r="O38" s="222"/>
    </row>
    <row r="39" spans="1:15" s="13" customFormat="1" ht="12.75" x14ac:dyDescent="0.2">
      <c r="A39" s="112"/>
      <c r="B39" s="37" t="s">
        <v>251</v>
      </c>
      <c r="C39" s="727" t="s">
        <v>727</v>
      </c>
      <c r="D39" s="191">
        <f>Additional_Agency_Information!B99</f>
        <v>135000</v>
      </c>
      <c r="E39" s="192">
        <f>Additional_Agency_Information!C99</f>
        <v>135000</v>
      </c>
      <c r="F39" s="193">
        <v>0</v>
      </c>
      <c r="G39" s="192">
        <v>0</v>
      </c>
      <c r="H39" s="193">
        <v>0</v>
      </c>
      <c r="I39" s="192">
        <v>0</v>
      </c>
      <c r="J39" s="193">
        <v>0</v>
      </c>
      <c r="K39" s="192">
        <v>0</v>
      </c>
      <c r="L39" s="193">
        <v>0</v>
      </c>
      <c r="M39" s="194">
        <v>0</v>
      </c>
      <c r="N39" s="12"/>
      <c r="O39" s="409">
        <f t="shared" ref="O39:O54" si="11">SUM(D39:M39)</f>
        <v>270000</v>
      </c>
    </row>
    <row r="40" spans="1:15" s="13" customFormat="1" ht="12.75" x14ac:dyDescent="0.2">
      <c r="A40" s="390"/>
      <c r="B40" s="391" t="s">
        <v>244</v>
      </c>
      <c r="C40" s="392"/>
      <c r="D40" s="195">
        <v>0</v>
      </c>
      <c r="E40" s="196">
        <v>0</v>
      </c>
      <c r="F40" s="197">
        <v>0</v>
      </c>
      <c r="G40" s="196">
        <v>0</v>
      </c>
      <c r="H40" s="197">
        <v>0</v>
      </c>
      <c r="I40" s="196">
        <v>0</v>
      </c>
      <c r="J40" s="197">
        <v>0</v>
      </c>
      <c r="K40" s="196">
        <v>0</v>
      </c>
      <c r="L40" s="197">
        <v>0</v>
      </c>
      <c r="M40" s="198">
        <v>0</v>
      </c>
      <c r="N40" s="12"/>
      <c r="O40" s="408">
        <f t="shared" si="11"/>
        <v>0</v>
      </c>
    </row>
    <row r="41" spans="1:15" s="13" customFormat="1" ht="12.75" x14ac:dyDescent="0.2">
      <c r="A41" s="113"/>
      <c r="B41" s="38" t="s">
        <v>256</v>
      </c>
      <c r="C41" s="727" t="s">
        <v>727</v>
      </c>
      <c r="D41" s="195">
        <f>Additional_Agency_Information!B101</f>
        <v>33000</v>
      </c>
      <c r="E41" s="196">
        <f>Additional_Agency_Information!C101</f>
        <v>33000</v>
      </c>
      <c r="F41" s="197">
        <v>0</v>
      </c>
      <c r="G41" s="196">
        <v>0</v>
      </c>
      <c r="H41" s="197">
        <v>0</v>
      </c>
      <c r="I41" s="196">
        <v>0</v>
      </c>
      <c r="J41" s="197">
        <v>0</v>
      </c>
      <c r="K41" s="196">
        <v>0</v>
      </c>
      <c r="L41" s="197">
        <v>0</v>
      </c>
      <c r="M41" s="198">
        <v>0</v>
      </c>
      <c r="N41" s="12"/>
      <c r="O41" s="216">
        <f t="shared" si="11"/>
        <v>66000</v>
      </c>
    </row>
    <row r="42" spans="1:15" s="13" customFormat="1" ht="12.75" x14ac:dyDescent="0.2">
      <c r="A42" s="113"/>
      <c r="B42" s="38" t="s">
        <v>257</v>
      </c>
      <c r="C42" s="727" t="s">
        <v>727</v>
      </c>
      <c r="D42" s="195">
        <f>Additional_Agency_Information!B102</f>
        <v>95040</v>
      </c>
      <c r="E42" s="196">
        <v>0</v>
      </c>
      <c r="F42" s="197">
        <v>0</v>
      </c>
      <c r="G42" s="196">
        <v>0</v>
      </c>
      <c r="H42" s="197">
        <v>0</v>
      </c>
      <c r="I42" s="196">
        <v>0</v>
      </c>
      <c r="J42" s="197">
        <v>0</v>
      </c>
      <c r="K42" s="196">
        <v>0</v>
      </c>
      <c r="L42" s="197">
        <v>0</v>
      </c>
      <c r="M42" s="198">
        <v>0</v>
      </c>
      <c r="N42" s="12"/>
      <c r="O42" s="216">
        <f t="shared" si="11"/>
        <v>95040</v>
      </c>
    </row>
    <row r="43" spans="1:15" s="13" customFormat="1" ht="12.75" x14ac:dyDescent="0.2">
      <c r="A43" s="113"/>
      <c r="B43" s="38" t="s">
        <v>258</v>
      </c>
      <c r="C43" s="727" t="s">
        <v>727</v>
      </c>
      <c r="D43" s="195">
        <f>Additional_Agency_Information!B103</f>
        <v>273000</v>
      </c>
      <c r="E43" s="196">
        <f>Additional_Agency_Information!C103</f>
        <v>273000</v>
      </c>
      <c r="F43" s="197">
        <v>0</v>
      </c>
      <c r="G43" s="196">
        <v>0</v>
      </c>
      <c r="H43" s="197">
        <v>0</v>
      </c>
      <c r="I43" s="196">
        <v>0</v>
      </c>
      <c r="J43" s="197">
        <v>0</v>
      </c>
      <c r="K43" s="196">
        <v>0</v>
      </c>
      <c r="L43" s="197">
        <v>0</v>
      </c>
      <c r="M43" s="198">
        <v>0</v>
      </c>
      <c r="N43" s="12"/>
      <c r="O43" s="216">
        <f t="shared" si="11"/>
        <v>546000</v>
      </c>
    </row>
    <row r="44" spans="1:15" s="13" customFormat="1" ht="25.5" x14ac:dyDescent="0.2">
      <c r="A44" s="113"/>
      <c r="B44" s="38" t="s">
        <v>252</v>
      </c>
      <c r="C44" s="324" t="s">
        <v>715</v>
      </c>
      <c r="D44" s="195">
        <v>0</v>
      </c>
      <c r="E44" s="196">
        <v>0</v>
      </c>
      <c r="F44" s="197">
        <v>0</v>
      </c>
      <c r="G44" s="196">
        <v>0</v>
      </c>
      <c r="H44" s="197">
        <v>0</v>
      </c>
      <c r="I44" s="196">
        <v>0</v>
      </c>
      <c r="J44" s="197">
        <v>0</v>
      </c>
      <c r="K44" s="196">
        <v>0</v>
      </c>
      <c r="L44" s="197">
        <v>0</v>
      </c>
      <c r="M44" s="198">
        <v>0</v>
      </c>
      <c r="N44" s="12"/>
      <c r="O44" s="216">
        <f t="shared" si="11"/>
        <v>0</v>
      </c>
    </row>
    <row r="45" spans="1:15" s="13" customFormat="1" ht="12.75" x14ac:dyDescent="0.2">
      <c r="A45" s="113"/>
      <c r="B45" s="38" t="s">
        <v>245</v>
      </c>
      <c r="C45" s="324"/>
      <c r="D45" s="195">
        <v>0</v>
      </c>
      <c r="E45" s="196">
        <v>0</v>
      </c>
      <c r="F45" s="197">
        <v>0</v>
      </c>
      <c r="G45" s="196">
        <v>0</v>
      </c>
      <c r="H45" s="197">
        <v>0</v>
      </c>
      <c r="I45" s="196">
        <v>0</v>
      </c>
      <c r="J45" s="197">
        <v>0</v>
      </c>
      <c r="K45" s="196">
        <v>0</v>
      </c>
      <c r="L45" s="197">
        <v>0</v>
      </c>
      <c r="M45" s="198">
        <v>0</v>
      </c>
      <c r="N45" s="12"/>
      <c r="O45" s="216">
        <f t="shared" si="11"/>
        <v>0</v>
      </c>
    </row>
    <row r="46" spans="1:15" s="13" customFormat="1" ht="38.25" x14ac:dyDescent="0.2">
      <c r="A46" s="113"/>
      <c r="B46" s="38" t="s">
        <v>253</v>
      </c>
      <c r="C46" s="727" t="s">
        <v>751</v>
      </c>
      <c r="D46" s="195">
        <v>0</v>
      </c>
      <c r="E46" s="196">
        <v>0</v>
      </c>
      <c r="F46" s="197">
        <v>0</v>
      </c>
      <c r="G46" s="196">
        <v>0</v>
      </c>
      <c r="H46" s="197">
        <v>0</v>
      </c>
      <c r="I46" s="196">
        <v>0</v>
      </c>
      <c r="J46" s="197">
        <v>0</v>
      </c>
      <c r="K46" s="196">
        <v>0</v>
      </c>
      <c r="L46" s="197">
        <v>0</v>
      </c>
      <c r="M46" s="198">
        <v>0</v>
      </c>
      <c r="N46" s="12"/>
      <c r="O46" s="216">
        <f t="shared" si="11"/>
        <v>0</v>
      </c>
    </row>
    <row r="47" spans="1:15" s="13" customFormat="1" ht="12.75" x14ac:dyDescent="0.2">
      <c r="A47" s="113"/>
      <c r="B47" s="38" t="s">
        <v>37</v>
      </c>
      <c r="C47" s="324"/>
      <c r="D47" s="195">
        <v>0</v>
      </c>
      <c r="E47" s="196">
        <v>0</v>
      </c>
      <c r="F47" s="197">
        <v>0</v>
      </c>
      <c r="G47" s="196">
        <v>0</v>
      </c>
      <c r="H47" s="197">
        <v>0</v>
      </c>
      <c r="I47" s="196">
        <v>0</v>
      </c>
      <c r="J47" s="197">
        <v>0</v>
      </c>
      <c r="K47" s="196">
        <v>0</v>
      </c>
      <c r="L47" s="197">
        <v>0</v>
      </c>
      <c r="M47" s="198">
        <v>0</v>
      </c>
      <c r="N47" s="12"/>
      <c r="O47" s="216">
        <f t="shared" si="11"/>
        <v>0</v>
      </c>
    </row>
    <row r="48" spans="1:15" s="13" customFormat="1" ht="12.75" x14ac:dyDescent="0.2">
      <c r="A48" s="113"/>
      <c r="B48" s="38" t="s">
        <v>246</v>
      </c>
      <c r="C48" s="727" t="s">
        <v>727</v>
      </c>
      <c r="D48" s="195">
        <f>Additional_Agency_Information!B108</f>
        <v>72000</v>
      </c>
      <c r="E48" s="196">
        <f>Additional_Agency_Information!C108</f>
        <v>72000</v>
      </c>
      <c r="F48" s="197">
        <v>0</v>
      </c>
      <c r="G48" s="196">
        <v>0</v>
      </c>
      <c r="H48" s="197">
        <v>0</v>
      </c>
      <c r="I48" s="196">
        <v>0</v>
      </c>
      <c r="J48" s="197">
        <v>0</v>
      </c>
      <c r="K48" s="196">
        <v>0</v>
      </c>
      <c r="L48" s="197">
        <v>0</v>
      </c>
      <c r="M48" s="198">
        <v>0</v>
      </c>
      <c r="N48" s="12"/>
      <c r="O48" s="216">
        <f t="shared" si="11"/>
        <v>144000</v>
      </c>
    </row>
    <row r="49" spans="1:15" s="13" customFormat="1" ht="12.75" x14ac:dyDescent="0.2">
      <c r="A49" s="113"/>
      <c r="B49" s="38" t="s">
        <v>247</v>
      </c>
      <c r="C49" s="324"/>
      <c r="D49" s="195">
        <v>0</v>
      </c>
      <c r="E49" s="196">
        <v>0</v>
      </c>
      <c r="F49" s="197">
        <v>0</v>
      </c>
      <c r="G49" s="196">
        <v>0</v>
      </c>
      <c r="H49" s="197">
        <v>0</v>
      </c>
      <c r="I49" s="196">
        <v>0</v>
      </c>
      <c r="J49" s="197">
        <v>0</v>
      </c>
      <c r="K49" s="196">
        <v>0</v>
      </c>
      <c r="L49" s="197">
        <v>0</v>
      </c>
      <c r="M49" s="198">
        <v>0</v>
      </c>
      <c r="N49" s="12"/>
      <c r="O49" s="216">
        <f t="shared" si="11"/>
        <v>0</v>
      </c>
    </row>
    <row r="50" spans="1:15" s="13" customFormat="1" ht="12.75" x14ac:dyDescent="0.2">
      <c r="A50" s="113"/>
      <c r="B50" s="38" t="s">
        <v>248</v>
      </c>
      <c r="C50" s="324"/>
      <c r="D50" s="195">
        <v>0</v>
      </c>
      <c r="E50" s="196">
        <v>0</v>
      </c>
      <c r="F50" s="197">
        <v>0</v>
      </c>
      <c r="G50" s="196">
        <v>0</v>
      </c>
      <c r="H50" s="197">
        <v>0</v>
      </c>
      <c r="I50" s="196">
        <v>0</v>
      </c>
      <c r="J50" s="197">
        <v>0</v>
      </c>
      <c r="K50" s="196">
        <v>0</v>
      </c>
      <c r="L50" s="197">
        <v>0</v>
      </c>
      <c r="M50" s="198">
        <v>0</v>
      </c>
      <c r="N50" s="12"/>
      <c r="O50" s="216">
        <f>SUM(D50:M50)</f>
        <v>0</v>
      </c>
    </row>
    <row r="51" spans="1:15" s="13" customFormat="1" ht="12.75" x14ac:dyDescent="0.2">
      <c r="A51" s="113"/>
      <c r="B51" s="38" t="s">
        <v>254</v>
      </c>
      <c r="C51" s="324"/>
      <c r="D51" s="195">
        <v>0</v>
      </c>
      <c r="E51" s="196">
        <v>0</v>
      </c>
      <c r="F51" s="197">
        <v>0</v>
      </c>
      <c r="G51" s="196">
        <v>0</v>
      </c>
      <c r="H51" s="197">
        <v>0</v>
      </c>
      <c r="I51" s="196">
        <v>0</v>
      </c>
      <c r="J51" s="197">
        <v>0</v>
      </c>
      <c r="K51" s="196">
        <v>0</v>
      </c>
      <c r="L51" s="197">
        <v>0</v>
      </c>
      <c r="M51" s="198">
        <v>0</v>
      </c>
      <c r="N51" s="12"/>
      <c r="O51" s="216">
        <f t="shared" si="11"/>
        <v>0</v>
      </c>
    </row>
    <row r="52" spans="1:15" s="13" customFormat="1" ht="12.75" x14ac:dyDescent="0.2">
      <c r="A52" s="113"/>
      <c r="B52" s="52" t="s">
        <v>249</v>
      </c>
      <c r="C52" s="324"/>
      <c r="D52" s="195">
        <v>0</v>
      </c>
      <c r="E52" s="196">
        <v>0</v>
      </c>
      <c r="F52" s="197">
        <v>0</v>
      </c>
      <c r="G52" s="196">
        <v>0</v>
      </c>
      <c r="H52" s="197">
        <v>0</v>
      </c>
      <c r="I52" s="196">
        <v>0</v>
      </c>
      <c r="J52" s="197">
        <v>0</v>
      </c>
      <c r="K52" s="196">
        <v>0</v>
      </c>
      <c r="L52" s="197">
        <v>0</v>
      </c>
      <c r="M52" s="198">
        <v>0</v>
      </c>
      <c r="N52" s="12"/>
      <c r="O52" s="216">
        <f t="shared" si="11"/>
        <v>0</v>
      </c>
    </row>
    <row r="53" spans="1:15" s="13" customFormat="1" ht="12.75" x14ac:dyDescent="0.2">
      <c r="A53" s="113"/>
      <c r="B53" s="52" t="s">
        <v>250</v>
      </c>
      <c r="C53" s="324"/>
      <c r="D53" s="195">
        <v>0</v>
      </c>
      <c r="E53" s="196">
        <v>0</v>
      </c>
      <c r="F53" s="197">
        <v>0</v>
      </c>
      <c r="G53" s="196">
        <v>0</v>
      </c>
      <c r="H53" s="197">
        <v>0</v>
      </c>
      <c r="I53" s="196">
        <v>0</v>
      </c>
      <c r="J53" s="197">
        <v>0</v>
      </c>
      <c r="K53" s="196">
        <v>0</v>
      </c>
      <c r="L53" s="197">
        <v>0</v>
      </c>
      <c r="M53" s="198">
        <v>0</v>
      </c>
      <c r="N53" s="12"/>
      <c r="O53" s="216">
        <f t="shared" si="11"/>
        <v>0</v>
      </c>
    </row>
    <row r="54" spans="1:15" s="13" customFormat="1" ht="12.75" x14ac:dyDescent="0.2">
      <c r="A54" s="113"/>
      <c r="B54" s="52" t="s">
        <v>469</v>
      </c>
      <c r="C54" s="324"/>
      <c r="D54" s="195">
        <v>0</v>
      </c>
      <c r="E54" s="196">
        <v>0</v>
      </c>
      <c r="F54" s="197">
        <v>0</v>
      </c>
      <c r="G54" s="196">
        <v>0</v>
      </c>
      <c r="H54" s="197">
        <v>0</v>
      </c>
      <c r="I54" s="196">
        <v>0</v>
      </c>
      <c r="J54" s="197">
        <v>0</v>
      </c>
      <c r="K54" s="196">
        <v>0</v>
      </c>
      <c r="L54" s="197">
        <v>0</v>
      </c>
      <c r="M54" s="198">
        <v>0</v>
      </c>
      <c r="N54" s="12"/>
      <c r="O54" s="216">
        <f t="shared" si="11"/>
        <v>0</v>
      </c>
    </row>
    <row r="55" spans="1:15" s="13" customFormat="1" ht="12.75" x14ac:dyDescent="0.2">
      <c r="A55" s="114"/>
      <c r="B55" s="395" t="s">
        <v>255</v>
      </c>
      <c r="C55" s="324"/>
      <c r="D55" s="195">
        <v>0</v>
      </c>
      <c r="E55" s="196">
        <v>0</v>
      </c>
      <c r="F55" s="197">
        <v>0</v>
      </c>
      <c r="G55" s="196">
        <v>0</v>
      </c>
      <c r="H55" s="197">
        <v>0</v>
      </c>
      <c r="I55" s="196">
        <v>0</v>
      </c>
      <c r="J55" s="197">
        <v>0</v>
      </c>
      <c r="K55" s="196">
        <v>0</v>
      </c>
      <c r="L55" s="197">
        <v>0</v>
      </c>
      <c r="M55" s="198">
        <v>0</v>
      </c>
      <c r="N55" s="12"/>
      <c r="O55" s="410">
        <f>SUM(D55:M55)</f>
        <v>0</v>
      </c>
    </row>
    <row r="56" spans="1:15" s="13" customFormat="1" ht="12.75" x14ac:dyDescent="0.2">
      <c r="A56" s="390"/>
      <c r="B56" s="269" t="s">
        <v>699</v>
      </c>
      <c r="C56" s="727" t="s">
        <v>727</v>
      </c>
      <c r="D56" s="195">
        <f>Additional_Agency_Information!B116</f>
        <v>76560</v>
      </c>
      <c r="E56" s="196">
        <f>Additional_Agency_Information!C116</f>
        <v>76560</v>
      </c>
      <c r="F56" s="197">
        <v>0</v>
      </c>
      <c r="G56" s="196">
        <v>0</v>
      </c>
      <c r="H56" s="197">
        <v>0</v>
      </c>
      <c r="I56" s="196">
        <v>0</v>
      </c>
      <c r="J56" s="197">
        <v>0</v>
      </c>
      <c r="K56" s="196">
        <v>0</v>
      </c>
      <c r="L56" s="197">
        <v>0</v>
      </c>
      <c r="M56" s="198">
        <v>0</v>
      </c>
      <c r="N56" s="12"/>
      <c r="O56" s="408">
        <f>SUM(D56:M56)</f>
        <v>153120</v>
      </c>
    </row>
    <row r="57" spans="1:15" s="13" customFormat="1" ht="12.75" x14ac:dyDescent="0.2">
      <c r="A57" s="113"/>
      <c r="B57" s="269" t="s">
        <v>460</v>
      </c>
      <c r="C57" s="324"/>
      <c r="D57" s="195">
        <v>0</v>
      </c>
      <c r="E57" s="196">
        <v>0</v>
      </c>
      <c r="F57" s="197">
        <v>0</v>
      </c>
      <c r="G57" s="196">
        <v>0</v>
      </c>
      <c r="H57" s="197">
        <v>0</v>
      </c>
      <c r="I57" s="196">
        <v>0</v>
      </c>
      <c r="J57" s="197">
        <v>0</v>
      </c>
      <c r="K57" s="196">
        <v>0</v>
      </c>
      <c r="L57" s="197">
        <v>0</v>
      </c>
      <c r="M57" s="198">
        <v>0</v>
      </c>
      <c r="N57" s="12"/>
      <c r="O57" s="216">
        <f>SUM(D57:M57)</f>
        <v>0</v>
      </c>
    </row>
    <row r="58" spans="1:15" s="13" customFormat="1" ht="12.75" x14ac:dyDescent="0.2">
      <c r="A58" s="113"/>
      <c r="B58" s="269" t="s">
        <v>460</v>
      </c>
      <c r="C58" s="324"/>
      <c r="D58" s="195">
        <v>0</v>
      </c>
      <c r="E58" s="196">
        <v>0</v>
      </c>
      <c r="F58" s="197">
        <v>0</v>
      </c>
      <c r="G58" s="196">
        <v>0</v>
      </c>
      <c r="H58" s="197">
        <v>0</v>
      </c>
      <c r="I58" s="196">
        <v>0</v>
      </c>
      <c r="J58" s="197">
        <v>0</v>
      </c>
      <c r="K58" s="196">
        <v>0</v>
      </c>
      <c r="L58" s="197">
        <v>0</v>
      </c>
      <c r="M58" s="198">
        <v>0</v>
      </c>
      <c r="N58" s="12"/>
      <c r="O58" s="216">
        <f>SUM(D58:M58)</f>
        <v>0</v>
      </c>
    </row>
    <row r="59" spans="1:15" s="12" customFormat="1" ht="29.25" customHeight="1" thickBot="1" x14ac:dyDescent="0.25">
      <c r="A59" s="115"/>
      <c r="B59" s="89" t="s">
        <v>580</v>
      </c>
      <c r="C59" s="307"/>
      <c r="D59" s="418">
        <f t="shared" ref="D59:M59" si="12">SUM(D39:D58)</f>
        <v>684600</v>
      </c>
      <c r="E59" s="94">
        <f t="shared" si="12"/>
        <v>589560</v>
      </c>
      <c r="F59" s="94">
        <f t="shared" si="12"/>
        <v>0</v>
      </c>
      <c r="G59" s="94">
        <f t="shared" si="12"/>
        <v>0</v>
      </c>
      <c r="H59" s="94">
        <f t="shared" si="12"/>
        <v>0</v>
      </c>
      <c r="I59" s="94">
        <f t="shared" si="12"/>
        <v>0</v>
      </c>
      <c r="J59" s="94">
        <f t="shared" si="12"/>
        <v>0</v>
      </c>
      <c r="K59" s="94">
        <f t="shared" si="12"/>
        <v>0</v>
      </c>
      <c r="L59" s="94">
        <f t="shared" si="12"/>
        <v>0</v>
      </c>
      <c r="M59" s="322">
        <f t="shared" si="12"/>
        <v>0</v>
      </c>
      <c r="N59" s="202"/>
      <c r="O59" s="7">
        <f>SUM(O39:O58)</f>
        <v>1274160</v>
      </c>
    </row>
    <row r="60" spans="1:15" s="13" customFormat="1" ht="29.25" customHeight="1" x14ac:dyDescent="0.2">
      <c r="A60" s="116" t="s">
        <v>438</v>
      </c>
      <c r="B60" s="35" t="s">
        <v>470</v>
      </c>
      <c r="C60" s="385"/>
      <c r="D60" s="50"/>
      <c r="E60" s="50"/>
      <c r="F60" s="50"/>
      <c r="G60" s="50"/>
      <c r="H60" s="50"/>
      <c r="I60" s="50"/>
      <c r="J60" s="50"/>
      <c r="K60" s="50"/>
      <c r="L60" s="50"/>
      <c r="M60" s="50"/>
      <c r="N60" s="23"/>
      <c r="O60" s="222"/>
    </row>
    <row r="61" spans="1:15" s="13" customFormat="1" ht="12.75" x14ac:dyDescent="0.2">
      <c r="A61" s="112"/>
      <c r="B61" s="37" t="s">
        <v>437</v>
      </c>
      <c r="C61" s="727" t="s">
        <v>727</v>
      </c>
      <c r="D61" s="191">
        <v>0</v>
      </c>
      <c r="E61" s="192">
        <v>0</v>
      </c>
      <c r="F61" s="193">
        <f>Additional_Agency_Information!D129</f>
        <v>448800</v>
      </c>
      <c r="G61" s="192">
        <f>Additional_Agency_Information!E129</f>
        <v>448800</v>
      </c>
      <c r="H61" s="193">
        <v>0</v>
      </c>
      <c r="I61" s="192">
        <v>0</v>
      </c>
      <c r="J61" s="193">
        <v>0</v>
      </c>
      <c r="K61" s="192">
        <v>0</v>
      </c>
      <c r="L61" s="193">
        <v>0</v>
      </c>
      <c r="M61" s="194">
        <v>0</v>
      </c>
      <c r="N61" s="12"/>
      <c r="O61" s="215">
        <f>SUM(D61:M61)</f>
        <v>897600</v>
      </c>
    </row>
    <row r="62" spans="1:15" s="13" customFormat="1" ht="12.75" x14ac:dyDescent="0.2">
      <c r="A62" s="114"/>
      <c r="B62" s="52" t="s">
        <v>436</v>
      </c>
      <c r="C62" s="324"/>
      <c r="D62" s="195">
        <v>0</v>
      </c>
      <c r="E62" s="196">
        <v>0</v>
      </c>
      <c r="F62" s="197">
        <v>0</v>
      </c>
      <c r="G62" s="196">
        <v>0</v>
      </c>
      <c r="H62" s="197">
        <v>0</v>
      </c>
      <c r="I62" s="196">
        <v>0</v>
      </c>
      <c r="J62" s="197">
        <v>0</v>
      </c>
      <c r="K62" s="196">
        <v>0</v>
      </c>
      <c r="L62" s="197">
        <v>0</v>
      </c>
      <c r="M62" s="198">
        <v>0</v>
      </c>
      <c r="N62" s="12"/>
      <c r="O62" s="216">
        <f>SUM(D62:M62)</f>
        <v>0</v>
      </c>
    </row>
    <row r="63" spans="1:15" s="12" customFormat="1" ht="31.5" customHeight="1" thickBot="1" x14ac:dyDescent="0.25">
      <c r="A63" s="115"/>
      <c r="B63" s="89" t="s">
        <v>471</v>
      </c>
      <c r="C63" s="307"/>
      <c r="D63" s="418">
        <f t="shared" ref="D63:M63" si="13">SUM(D61:D62)</f>
        <v>0</v>
      </c>
      <c r="E63" s="94">
        <f t="shared" si="13"/>
        <v>0</v>
      </c>
      <c r="F63" s="94">
        <f t="shared" si="13"/>
        <v>448800</v>
      </c>
      <c r="G63" s="94">
        <f t="shared" si="13"/>
        <v>448800</v>
      </c>
      <c r="H63" s="94">
        <f t="shared" si="13"/>
        <v>0</v>
      </c>
      <c r="I63" s="94">
        <f t="shared" si="13"/>
        <v>0</v>
      </c>
      <c r="J63" s="94">
        <f t="shared" si="13"/>
        <v>0</v>
      </c>
      <c r="K63" s="94">
        <f t="shared" si="13"/>
        <v>0</v>
      </c>
      <c r="L63" s="94">
        <f t="shared" si="13"/>
        <v>0</v>
      </c>
      <c r="M63" s="322">
        <f t="shared" si="13"/>
        <v>0</v>
      </c>
      <c r="N63" s="202"/>
      <c r="O63" s="7">
        <f>SUM(O61:O62)</f>
        <v>897600</v>
      </c>
    </row>
    <row r="64" spans="1:15" s="12" customFormat="1" ht="32.25" customHeight="1" thickBot="1" x14ac:dyDescent="0.25">
      <c r="A64" s="115" t="s">
        <v>119</v>
      </c>
      <c r="B64" s="89" t="str">
        <f>Instructions!B29</f>
        <v>Total Project Contract/Consultant Services Costs</v>
      </c>
      <c r="C64" s="307"/>
      <c r="D64" s="418">
        <f>D59+D63</f>
        <v>684600</v>
      </c>
      <c r="E64" s="94">
        <f>E59+E63</f>
        <v>589560</v>
      </c>
      <c r="F64" s="94">
        <f t="shared" ref="F64:O64" si="14">F59+F63</f>
        <v>448800</v>
      </c>
      <c r="G64" s="94">
        <f t="shared" si="14"/>
        <v>448800</v>
      </c>
      <c r="H64" s="94">
        <f t="shared" si="14"/>
        <v>0</v>
      </c>
      <c r="I64" s="94">
        <f t="shared" si="14"/>
        <v>0</v>
      </c>
      <c r="J64" s="94">
        <f t="shared" si="14"/>
        <v>0</v>
      </c>
      <c r="K64" s="94">
        <f t="shared" si="14"/>
        <v>0</v>
      </c>
      <c r="L64" s="94">
        <f t="shared" si="14"/>
        <v>0</v>
      </c>
      <c r="M64" s="322">
        <f t="shared" si="14"/>
        <v>0</v>
      </c>
      <c r="O64" s="7">
        <f t="shared" si="14"/>
        <v>2171760</v>
      </c>
    </row>
    <row r="65" spans="1:15" s="13" customFormat="1" ht="25.5" x14ac:dyDescent="0.2">
      <c r="A65" s="506" t="s">
        <v>473</v>
      </c>
      <c r="B65" s="507" t="s">
        <v>474</v>
      </c>
      <c r="C65" s="508"/>
      <c r="D65" s="509"/>
      <c r="E65" s="509"/>
      <c r="F65" s="509"/>
      <c r="G65" s="509"/>
      <c r="H65" s="509"/>
      <c r="I65" s="509"/>
      <c r="J65" s="509"/>
      <c r="K65" s="509"/>
      <c r="L65" s="509"/>
      <c r="M65" s="509"/>
      <c r="N65" s="510"/>
      <c r="O65" s="511"/>
    </row>
    <row r="66" spans="1:15" s="13" customFormat="1" ht="12.75" x14ac:dyDescent="0.2">
      <c r="A66" s="512"/>
      <c r="B66" s="513" t="s">
        <v>437</v>
      </c>
      <c r="C66" s="514"/>
      <c r="D66" s="515">
        <v>0</v>
      </c>
      <c r="E66" s="516">
        <v>0</v>
      </c>
      <c r="F66" s="516">
        <v>0</v>
      </c>
      <c r="G66" s="516">
        <v>0</v>
      </c>
      <c r="H66" s="516">
        <v>0</v>
      </c>
      <c r="I66" s="516">
        <v>0</v>
      </c>
      <c r="J66" s="516">
        <v>0</v>
      </c>
      <c r="K66" s="516">
        <v>0</v>
      </c>
      <c r="L66" s="516">
        <v>0</v>
      </c>
      <c r="M66" s="517">
        <v>0</v>
      </c>
      <c r="N66" s="518"/>
      <c r="O66" s="519">
        <f>SUM(D66:M66)</f>
        <v>0</v>
      </c>
    </row>
    <row r="67" spans="1:15" s="13" customFormat="1" ht="12.75" x14ac:dyDescent="0.2">
      <c r="A67" s="520"/>
      <c r="B67" s="521" t="s">
        <v>436</v>
      </c>
      <c r="C67" s="522"/>
      <c r="D67" s="523">
        <v>0</v>
      </c>
      <c r="E67" s="524">
        <v>0</v>
      </c>
      <c r="F67" s="524">
        <v>0</v>
      </c>
      <c r="G67" s="524">
        <v>0</v>
      </c>
      <c r="H67" s="524">
        <v>0</v>
      </c>
      <c r="I67" s="524">
        <v>0</v>
      </c>
      <c r="J67" s="524">
        <v>0</v>
      </c>
      <c r="K67" s="524">
        <v>0</v>
      </c>
      <c r="L67" s="524">
        <v>0</v>
      </c>
      <c r="M67" s="525">
        <v>0</v>
      </c>
      <c r="N67" s="518"/>
      <c r="O67" s="526">
        <f>SUM(D67:M67)</f>
        <v>0</v>
      </c>
    </row>
    <row r="68" spans="1:15" s="12" customFormat="1" ht="26.25" thickBot="1" x14ac:dyDescent="0.25">
      <c r="A68" s="527" t="s">
        <v>476</v>
      </c>
      <c r="B68" s="528" t="s">
        <v>475</v>
      </c>
      <c r="C68" s="529"/>
      <c r="D68" s="530">
        <f t="shared" ref="D68:O68" si="15">SUM(D66:D67)</f>
        <v>0</v>
      </c>
      <c r="E68" s="535">
        <f t="shared" si="15"/>
        <v>0</v>
      </c>
      <c r="F68" s="535">
        <f t="shared" si="15"/>
        <v>0</v>
      </c>
      <c r="G68" s="535">
        <f t="shared" si="15"/>
        <v>0</v>
      </c>
      <c r="H68" s="535">
        <f t="shared" si="15"/>
        <v>0</v>
      </c>
      <c r="I68" s="535">
        <f t="shared" si="15"/>
        <v>0</v>
      </c>
      <c r="J68" s="535">
        <f t="shared" si="15"/>
        <v>0</v>
      </c>
      <c r="K68" s="535">
        <f t="shared" si="15"/>
        <v>0</v>
      </c>
      <c r="L68" s="535">
        <f t="shared" si="15"/>
        <v>0</v>
      </c>
      <c r="M68" s="532">
        <f t="shared" si="15"/>
        <v>0</v>
      </c>
      <c r="N68" s="533"/>
      <c r="O68" s="534">
        <f t="shared" si="15"/>
        <v>0</v>
      </c>
    </row>
    <row r="69" spans="1:15" s="13" customFormat="1" ht="28.5" customHeight="1" thickBot="1" x14ac:dyDescent="0.25">
      <c r="A69" s="117" t="s">
        <v>120</v>
      </c>
      <c r="B69" s="46" t="str">
        <f>Instructions!B32</f>
        <v>Total Project Agency and Contract Personnel Costs</v>
      </c>
      <c r="C69" s="308"/>
      <c r="D69" s="396">
        <f t="shared" ref="D69:M69" si="16">D64+D31</f>
        <v>1068184.0944000001</v>
      </c>
      <c r="E69" s="501">
        <f t="shared" si="16"/>
        <v>765051.51359999995</v>
      </c>
      <c r="F69" s="501">
        <f t="shared" si="16"/>
        <v>541434.36</v>
      </c>
      <c r="G69" s="501">
        <f t="shared" si="16"/>
        <v>541434.36</v>
      </c>
      <c r="H69" s="501">
        <f t="shared" si="16"/>
        <v>92634.36</v>
      </c>
      <c r="I69" s="501">
        <f t="shared" si="16"/>
        <v>92634.36</v>
      </c>
      <c r="J69" s="501">
        <f t="shared" si="16"/>
        <v>92634.36</v>
      </c>
      <c r="K69" s="501">
        <f t="shared" si="16"/>
        <v>92634.36</v>
      </c>
      <c r="L69" s="501">
        <f t="shared" si="16"/>
        <v>92634.36</v>
      </c>
      <c r="M69" s="411">
        <f t="shared" si="16"/>
        <v>92634.36</v>
      </c>
      <c r="N69" s="12"/>
      <c r="O69" s="7">
        <f>O64+O31</f>
        <v>3471910.4879999999</v>
      </c>
    </row>
    <row r="70" spans="1:15" s="13" customFormat="1" ht="26.25" thickBot="1" x14ac:dyDescent="0.25">
      <c r="A70" s="536" t="s">
        <v>477</v>
      </c>
      <c r="B70" s="537" t="str">
        <f>Instructions!B33</f>
        <v>Total Non-Project/Operational Agency and Contract Personnel Costs</v>
      </c>
      <c r="C70" s="538"/>
      <c r="D70" s="539">
        <f t="shared" ref="D70:M70" si="17">D68+D37</f>
        <v>0</v>
      </c>
      <c r="E70" s="540">
        <f t="shared" si="17"/>
        <v>0</v>
      </c>
      <c r="F70" s="540">
        <f t="shared" si="17"/>
        <v>0</v>
      </c>
      <c r="G70" s="540">
        <f t="shared" si="17"/>
        <v>0</v>
      </c>
      <c r="H70" s="540">
        <f t="shared" si="17"/>
        <v>0</v>
      </c>
      <c r="I70" s="540">
        <f t="shared" si="17"/>
        <v>0</v>
      </c>
      <c r="J70" s="540">
        <f t="shared" si="17"/>
        <v>0</v>
      </c>
      <c r="K70" s="540">
        <f t="shared" si="17"/>
        <v>0</v>
      </c>
      <c r="L70" s="540">
        <f t="shared" si="17"/>
        <v>0</v>
      </c>
      <c r="M70" s="541">
        <f t="shared" si="17"/>
        <v>0</v>
      </c>
      <c r="N70" s="542"/>
      <c r="O70" s="543">
        <f>O68+O37</f>
        <v>0</v>
      </c>
    </row>
    <row r="71" spans="1:15" s="405" customFormat="1" ht="13.5" thickBot="1" x14ac:dyDescent="0.25">
      <c r="A71" s="404"/>
      <c r="B71" s="401"/>
      <c r="C71" s="401"/>
      <c r="D71" s="402"/>
      <c r="E71" s="402"/>
      <c r="F71" s="402"/>
      <c r="G71" s="402"/>
      <c r="H71" s="402"/>
      <c r="I71" s="402"/>
      <c r="J71" s="402"/>
      <c r="K71" s="402"/>
      <c r="L71" s="402"/>
      <c r="M71" s="402"/>
      <c r="N71" s="23"/>
      <c r="O71" s="403"/>
    </row>
    <row r="72" spans="1:15" ht="15" x14ac:dyDescent="0.2">
      <c r="A72" s="397"/>
      <c r="B72" s="398" t="s">
        <v>623</v>
      </c>
      <c r="C72" s="387"/>
      <c r="D72" s="244"/>
      <c r="E72" s="244"/>
      <c r="F72" s="244"/>
      <c r="G72" s="244"/>
      <c r="H72" s="244"/>
      <c r="I72" s="244"/>
      <c r="J72" s="244"/>
      <c r="K72" s="244"/>
      <c r="L72" s="244"/>
      <c r="M72" s="399"/>
      <c r="N72" s="80"/>
      <c r="O72" s="400"/>
    </row>
    <row r="73" spans="1:15" s="13" customFormat="1" ht="12.75" x14ac:dyDescent="0.2">
      <c r="A73" s="118" t="s">
        <v>121</v>
      </c>
      <c r="B73" s="41" t="str">
        <f>Instructions!B34</f>
        <v>Project - Hardware Procurement</v>
      </c>
      <c r="C73" s="386"/>
      <c r="D73" s="42"/>
      <c r="E73" s="42"/>
      <c r="F73" s="42"/>
      <c r="G73" s="42"/>
      <c r="H73" s="42"/>
      <c r="I73" s="42"/>
      <c r="J73" s="42"/>
      <c r="K73" s="42"/>
      <c r="L73" s="42"/>
      <c r="M73" s="320"/>
      <c r="N73" s="22"/>
      <c r="O73" s="217"/>
    </row>
    <row r="74" spans="1:15" s="13" customFormat="1" ht="12.75" x14ac:dyDescent="0.2">
      <c r="A74" s="119"/>
      <c r="B74" s="43" t="s">
        <v>268</v>
      </c>
      <c r="C74" s="325"/>
      <c r="D74" s="191">
        <v>0</v>
      </c>
      <c r="E74" s="192">
        <v>0</v>
      </c>
      <c r="F74" s="193">
        <v>0</v>
      </c>
      <c r="G74" s="192">
        <v>0</v>
      </c>
      <c r="H74" s="193">
        <v>0</v>
      </c>
      <c r="I74" s="192">
        <v>0</v>
      </c>
      <c r="J74" s="193">
        <v>0</v>
      </c>
      <c r="K74" s="192">
        <v>0</v>
      </c>
      <c r="L74" s="193">
        <v>0</v>
      </c>
      <c r="M74" s="194">
        <v>0</v>
      </c>
      <c r="N74" s="12"/>
      <c r="O74" s="215">
        <f>SUM(D74:M74)</f>
        <v>0</v>
      </c>
    </row>
    <row r="75" spans="1:15" s="13" customFormat="1" ht="12.75" x14ac:dyDescent="0.2">
      <c r="A75" s="120"/>
      <c r="B75" s="44" t="s">
        <v>269</v>
      </c>
      <c r="C75" s="324" t="s">
        <v>750</v>
      </c>
      <c r="D75" s="722">
        <v>6500</v>
      </c>
      <c r="E75" s="196">
        <v>0</v>
      </c>
      <c r="F75" s="197">
        <v>0</v>
      </c>
      <c r="G75" s="196">
        <v>0</v>
      </c>
      <c r="H75" s="197">
        <v>0</v>
      </c>
      <c r="I75" s="196">
        <v>0</v>
      </c>
      <c r="J75" s="197">
        <v>0</v>
      </c>
      <c r="K75" s="196">
        <v>0</v>
      </c>
      <c r="L75" s="197">
        <v>0</v>
      </c>
      <c r="M75" s="198">
        <v>0</v>
      </c>
      <c r="N75" s="12"/>
      <c r="O75" s="216">
        <f t="shared" ref="O75:O89" si="18">SUM(D75:M75)</f>
        <v>6500</v>
      </c>
    </row>
    <row r="76" spans="1:15" s="13" customFormat="1" ht="12.75" x14ac:dyDescent="0.2">
      <c r="A76" s="120"/>
      <c r="B76" s="44" t="s">
        <v>270</v>
      </c>
      <c r="C76" s="727" t="s">
        <v>750</v>
      </c>
      <c r="D76" s="722">
        <v>5000</v>
      </c>
      <c r="E76" s="196">
        <v>0</v>
      </c>
      <c r="F76" s="197">
        <v>0</v>
      </c>
      <c r="G76" s="196">
        <v>0</v>
      </c>
      <c r="H76" s="197">
        <v>0</v>
      </c>
      <c r="I76" s="196">
        <v>0</v>
      </c>
      <c r="J76" s="197">
        <v>0</v>
      </c>
      <c r="K76" s="196">
        <v>0</v>
      </c>
      <c r="L76" s="197">
        <v>0</v>
      </c>
      <c r="M76" s="198">
        <v>0</v>
      </c>
      <c r="N76" s="12"/>
      <c r="O76" s="216">
        <f t="shared" si="18"/>
        <v>5000</v>
      </c>
    </row>
    <row r="77" spans="1:15" s="13" customFormat="1" ht="12.75" x14ac:dyDescent="0.2">
      <c r="A77" s="120"/>
      <c r="B77" s="44" t="s">
        <v>271</v>
      </c>
      <c r="C77" s="324" t="s">
        <v>754</v>
      </c>
      <c r="D77" s="722">
        <v>500</v>
      </c>
      <c r="E77" s="196">
        <v>0</v>
      </c>
      <c r="F77" s="197">
        <v>0</v>
      </c>
      <c r="G77" s="196">
        <v>0</v>
      </c>
      <c r="H77" s="197">
        <v>0</v>
      </c>
      <c r="I77" s="196">
        <v>0</v>
      </c>
      <c r="J77" s="197">
        <v>0</v>
      </c>
      <c r="K77" s="196">
        <v>0</v>
      </c>
      <c r="L77" s="197">
        <v>0</v>
      </c>
      <c r="M77" s="198">
        <v>0</v>
      </c>
      <c r="N77" s="12"/>
      <c r="O77" s="216">
        <f>SUM(D77:M77)</f>
        <v>500</v>
      </c>
    </row>
    <row r="78" spans="1:15" s="13" customFormat="1" ht="12.75" x14ac:dyDescent="0.2">
      <c r="A78" s="120"/>
      <c r="B78" s="44" t="s">
        <v>272</v>
      </c>
      <c r="C78" s="324"/>
      <c r="D78" s="195">
        <v>0</v>
      </c>
      <c r="E78" s="196">
        <v>0</v>
      </c>
      <c r="F78" s="197">
        <v>0</v>
      </c>
      <c r="G78" s="196">
        <v>0</v>
      </c>
      <c r="H78" s="197">
        <v>0</v>
      </c>
      <c r="I78" s="196">
        <v>0</v>
      </c>
      <c r="J78" s="197">
        <v>0</v>
      </c>
      <c r="K78" s="196">
        <v>0</v>
      </c>
      <c r="L78" s="197">
        <v>0</v>
      </c>
      <c r="M78" s="198">
        <v>0</v>
      </c>
      <c r="N78" s="12"/>
      <c r="O78" s="216">
        <f t="shared" si="18"/>
        <v>0</v>
      </c>
    </row>
    <row r="79" spans="1:15" s="13" customFormat="1" ht="12.75" x14ac:dyDescent="0.2">
      <c r="A79" s="120"/>
      <c r="B79" s="44" t="s">
        <v>273</v>
      </c>
      <c r="C79" s="324"/>
      <c r="D79" s="195">
        <v>0</v>
      </c>
      <c r="E79" s="196">
        <v>0</v>
      </c>
      <c r="F79" s="197">
        <v>0</v>
      </c>
      <c r="G79" s="196">
        <v>0</v>
      </c>
      <c r="H79" s="197">
        <v>0</v>
      </c>
      <c r="I79" s="196">
        <v>0</v>
      </c>
      <c r="J79" s="197">
        <v>0</v>
      </c>
      <c r="K79" s="196">
        <v>0</v>
      </c>
      <c r="L79" s="197">
        <v>0</v>
      </c>
      <c r="M79" s="198">
        <v>0</v>
      </c>
      <c r="N79" s="12"/>
      <c r="O79" s="216">
        <f>SUM(D79:M79)</f>
        <v>0</v>
      </c>
    </row>
    <row r="80" spans="1:15" s="13" customFormat="1" ht="12.75" x14ac:dyDescent="0.2">
      <c r="A80" s="120"/>
      <c r="B80" s="335" t="s">
        <v>430</v>
      </c>
      <c r="C80" s="324"/>
      <c r="D80" s="195">
        <v>0</v>
      </c>
      <c r="E80" s="196">
        <v>0</v>
      </c>
      <c r="F80" s="197">
        <v>0</v>
      </c>
      <c r="G80" s="196">
        <v>0</v>
      </c>
      <c r="H80" s="197">
        <v>0</v>
      </c>
      <c r="I80" s="196">
        <v>0</v>
      </c>
      <c r="J80" s="197">
        <v>0</v>
      </c>
      <c r="K80" s="196">
        <v>0</v>
      </c>
      <c r="L80" s="197">
        <v>0</v>
      </c>
      <c r="M80" s="198">
        <v>0</v>
      </c>
      <c r="N80" s="12"/>
      <c r="O80" s="216">
        <f>SUM(D80:M80)</f>
        <v>0</v>
      </c>
    </row>
    <row r="81" spans="1:15" s="13" customFormat="1" ht="12.75" x14ac:dyDescent="0.2">
      <c r="A81" s="120"/>
      <c r="B81" s="335" t="s">
        <v>430</v>
      </c>
      <c r="C81" s="324"/>
      <c r="D81" s="195">
        <v>0</v>
      </c>
      <c r="E81" s="196">
        <v>0</v>
      </c>
      <c r="F81" s="197">
        <v>0</v>
      </c>
      <c r="G81" s="196">
        <v>0</v>
      </c>
      <c r="H81" s="197">
        <v>0</v>
      </c>
      <c r="I81" s="196">
        <v>0</v>
      </c>
      <c r="J81" s="197">
        <v>0</v>
      </c>
      <c r="K81" s="196">
        <v>0</v>
      </c>
      <c r="L81" s="197">
        <v>0</v>
      </c>
      <c r="M81" s="198">
        <v>0</v>
      </c>
      <c r="N81" s="12"/>
      <c r="O81" s="216">
        <f>SUM(D81:M81)</f>
        <v>0</v>
      </c>
    </row>
    <row r="82" spans="1:15" s="13" customFormat="1" ht="12.75" x14ac:dyDescent="0.2">
      <c r="A82" s="121"/>
      <c r="B82" s="337" t="s">
        <v>430</v>
      </c>
      <c r="C82" s="324"/>
      <c r="D82" s="195">
        <v>0</v>
      </c>
      <c r="E82" s="196">
        <v>0</v>
      </c>
      <c r="F82" s="197">
        <v>0</v>
      </c>
      <c r="G82" s="196">
        <v>0</v>
      </c>
      <c r="H82" s="197">
        <v>0</v>
      </c>
      <c r="I82" s="196">
        <v>0</v>
      </c>
      <c r="J82" s="197">
        <v>0</v>
      </c>
      <c r="K82" s="196">
        <v>0</v>
      </c>
      <c r="L82" s="197">
        <v>0</v>
      </c>
      <c r="M82" s="198">
        <v>0</v>
      </c>
      <c r="N82" s="12"/>
      <c r="O82" s="221">
        <f t="shared" si="18"/>
        <v>0</v>
      </c>
    </row>
    <row r="83" spans="1:15" s="13" customFormat="1" ht="13.5" thickBot="1" x14ac:dyDescent="0.25">
      <c r="A83" s="117" t="s">
        <v>122</v>
      </c>
      <c r="B83" s="46" t="str">
        <f>Instructions!B35</f>
        <v>Subtotal Project Hardware Procurement</v>
      </c>
      <c r="C83" s="318"/>
      <c r="D83" s="418">
        <f t="shared" ref="D83:M83" si="19">SUM(D74:D82)</f>
        <v>12000</v>
      </c>
      <c r="E83" s="94">
        <f t="shared" si="19"/>
        <v>0</v>
      </c>
      <c r="F83" s="94">
        <f t="shared" si="19"/>
        <v>0</v>
      </c>
      <c r="G83" s="94">
        <f t="shared" si="19"/>
        <v>0</v>
      </c>
      <c r="H83" s="94">
        <f t="shared" si="19"/>
        <v>0</v>
      </c>
      <c r="I83" s="94">
        <f t="shared" si="19"/>
        <v>0</v>
      </c>
      <c r="J83" s="94">
        <f t="shared" si="19"/>
        <v>0</v>
      </c>
      <c r="K83" s="94">
        <f t="shared" si="19"/>
        <v>0</v>
      </c>
      <c r="L83" s="94">
        <f t="shared" si="19"/>
        <v>0</v>
      </c>
      <c r="M83" s="322">
        <f t="shared" si="19"/>
        <v>0</v>
      </c>
      <c r="N83" s="12"/>
      <c r="O83" s="7">
        <f>SUM(O74:O82)</f>
        <v>12000</v>
      </c>
    </row>
    <row r="84" spans="1:15" s="13" customFormat="1" ht="12.75" x14ac:dyDescent="0.2">
      <c r="A84" s="122" t="s">
        <v>123</v>
      </c>
      <c r="B84" s="24" t="str">
        <f>Instructions!B36</f>
        <v>Project Maintenance - Hardware</v>
      </c>
      <c r="C84" s="386"/>
      <c r="D84" s="21"/>
      <c r="E84" s="21"/>
      <c r="F84" s="21"/>
      <c r="G84" s="21"/>
      <c r="H84" s="21"/>
      <c r="I84" s="21"/>
      <c r="J84" s="21"/>
      <c r="K84" s="21"/>
      <c r="L84" s="21"/>
      <c r="M84" s="21"/>
      <c r="N84" s="23"/>
      <c r="O84" s="218"/>
    </row>
    <row r="85" spans="1:15" s="13" customFormat="1" ht="12.75" x14ac:dyDescent="0.2">
      <c r="A85" s="123"/>
      <c r="B85" s="47" t="s">
        <v>268</v>
      </c>
      <c r="C85" s="727"/>
      <c r="D85" s="191">
        <v>0</v>
      </c>
      <c r="E85" s="192">
        <v>0</v>
      </c>
      <c r="F85" s="193">
        <v>0</v>
      </c>
      <c r="G85" s="192">
        <v>0</v>
      </c>
      <c r="H85" s="193">
        <v>0</v>
      </c>
      <c r="I85" s="192">
        <v>0</v>
      </c>
      <c r="J85" s="193">
        <v>0</v>
      </c>
      <c r="K85" s="192">
        <v>0</v>
      </c>
      <c r="L85" s="193">
        <v>0</v>
      </c>
      <c r="M85" s="194">
        <v>0</v>
      </c>
      <c r="N85" s="12"/>
      <c r="O85" s="215">
        <f t="shared" si="18"/>
        <v>0</v>
      </c>
    </row>
    <row r="86" spans="1:15" s="13" customFormat="1" ht="12.75" x14ac:dyDescent="0.2">
      <c r="A86" s="120"/>
      <c r="B86" s="44" t="s">
        <v>269</v>
      </c>
      <c r="C86" s="727" t="s">
        <v>750</v>
      </c>
      <c r="D86" s="195">
        <v>0</v>
      </c>
      <c r="E86" s="196">
        <v>0</v>
      </c>
      <c r="F86" s="723">
        <v>1000</v>
      </c>
      <c r="G86" s="723">
        <v>1000</v>
      </c>
      <c r="H86" s="723">
        <v>1000</v>
      </c>
      <c r="I86" s="723">
        <v>1000</v>
      </c>
      <c r="J86" s="723">
        <v>1000</v>
      </c>
      <c r="K86" s="723">
        <v>1000</v>
      </c>
      <c r="L86" s="723">
        <v>1000</v>
      </c>
      <c r="M86" s="723">
        <v>1000</v>
      </c>
      <c r="N86" s="12"/>
      <c r="O86" s="216">
        <f t="shared" si="18"/>
        <v>8000</v>
      </c>
    </row>
    <row r="87" spans="1:15" s="13" customFormat="1" ht="12.75" x14ac:dyDescent="0.2">
      <c r="A87" s="120"/>
      <c r="B87" s="44" t="s">
        <v>270</v>
      </c>
      <c r="C87" s="727" t="s">
        <v>750</v>
      </c>
      <c r="D87" s="195">
        <v>0</v>
      </c>
      <c r="E87" s="196">
        <v>0</v>
      </c>
      <c r="F87" s="723">
        <v>1500</v>
      </c>
      <c r="G87" s="723">
        <v>1500</v>
      </c>
      <c r="H87" s="723">
        <v>1500</v>
      </c>
      <c r="I87" s="723">
        <v>1500</v>
      </c>
      <c r="J87" s="723">
        <v>1500</v>
      </c>
      <c r="K87" s="723">
        <v>1500</v>
      </c>
      <c r="L87" s="723">
        <v>1500</v>
      </c>
      <c r="M87" s="723">
        <v>1500</v>
      </c>
      <c r="N87" s="12"/>
      <c r="O87" s="216">
        <f t="shared" si="18"/>
        <v>12000</v>
      </c>
    </row>
    <row r="88" spans="1:15" s="13" customFormat="1" ht="12.75" x14ac:dyDescent="0.2">
      <c r="A88" s="120"/>
      <c r="B88" s="44" t="s">
        <v>271</v>
      </c>
      <c r="C88" s="727" t="s">
        <v>754</v>
      </c>
      <c r="D88" s="195">
        <v>0</v>
      </c>
      <c r="E88" s="196">
        <v>0</v>
      </c>
      <c r="F88" s="723">
        <v>0</v>
      </c>
      <c r="G88" s="723">
        <v>0</v>
      </c>
      <c r="H88" s="726">
        <v>1500</v>
      </c>
      <c r="I88" s="726">
        <v>1500</v>
      </c>
      <c r="J88" s="723">
        <v>1500</v>
      </c>
      <c r="K88" s="723">
        <v>1500</v>
      </c>
      <c r="L88" s="723">
        <v>1500</v>
      </c>
      <c r="M88" s="723">
        <v>1500</v>
      </c>
      <c r="N88" s="12"/>
      <c r="O88" s="216">
        <f t="shared" si="18"/>
        <v>9000</v>
      </c>
    </row>
    <row r="89" spans="1:15" s="13" customFormat="1" ht="12.75" x14ac:dyDescent="0.2">
      <c r="A89" s="120"/>
      <c r="B89" s="44" t="s">
        <v>272</v>
      </c>
      <c r="C89" s="324"/>
      <c r="D89" s="195">
        <v>0</v>
      </c>
      <c r="E89" s="196">
        <v>0</v>
      </c>
      <c r="F89" s="197">
        <v>0</v>
      </c>
      <c r="G89" s="196">
        <v>0</v>
      </c>
      <c r="H89" s="197">
        <v>0</v>
      </c>
      <c r="I89" s="196">
        <v>0</v>
      </c>
      <c r="J89" s="197">
        <v>0</v>
      </c>
      <c r="K89" s="196">
        <v>0</v>
      </c>
      <c r="L89" s="197">
        <v>0</v>
      </c>
      <c r="M89" s="198">
        <v>0</v>
      </c>
      <c r="N89" s="12"/>
      <c r="O89" s="216">
        <f t="shared" si="18"/>
        <v>0</v>
      </c>
    </row>
    <row r="90" spans="1:15" s="13" customFormat="1" ht="12.75" x14ac:dyDescent="0.2">
      <c r="A90" s="120"/>
      <c r="B90" s="44" t="s">
        <v>273</v>
      </c>
      <c r="C90" s="324"/>
      <c r="D90" s="195">
        <v>0</v>
      </c>
      <c r="E90" s="196">
        <v>0</v>
      </c>
      <c r="F90" s="197">
        <v>0</v>
      </c>
      <c r="G90" s="196">
        <v>0</v>
      </c>
      <c r="H90" s="197">
        <v>0</v>
      </c>
      <c r="I90" s="196">
        <v>0</v>
      </c>
      <c r="J90" s="197">
        <v>0</v>
      </c>
      <c r="K90" s="196">
        <v>0</v>
      </c>
      <c r="L90" s="197">
        <v>0</v>
      </c>
      <c r="M90" s="198">
        <v>0</v>
      </c>
      <c r="N90" s="12"/>
      <c r="O90" s="216">
        <f>SUM(D90:M90)</f>
        <v>0</v>
      </c>
    </row>
    <row r="91" spans="1:15" s="13" customFormat="1" ht="12.75" x14ac:dyDescent="0.2">
      <c r="A91" s="120"/>
      <c r="B91" s="335" t="s">
        <v>430</v>
      </c>
      <c r="C91" s="324"/>
      <c r="D91" s="195">
        <v>0</v>
      </c>
      <c r="E91" s="196">
        <v>0</v>
      </c>
      <c r="F91" s="197">
        <v>0</v>
      </c>
      <c r="G91" s="196">
        <v>0</v>
      </c>
      <c r="H91" s="197">
        <v>0</v>
      </c>
      <c r="I91" s="196">
        <v>0</v>
      </c>
      <c r="J91" s="197">
        <v>0</v>
      </c>
      <c r="K91" s="196">
        <v>0</v>
      </c>
      <c r="L91" s="197">
        <v>0</v>
      </c>
      <c r="M91" s="198">
        <v>0</v>
      </c>
      <c r="N91" s="12"/>
      <c r="O91" s="216">
        <f>SUM(D91:M91)</f>
        <v>0</v>
      </c>
    </row>
    <row r="92" spans="1:15" s="13" customFormat="1" ht="12.75" x14ac:dyDescent="0.2">
      <c r="A92" s="120"/>
      <c r="B92" s="335" t="s">
        <v>430</v>
      </c>
      <c r="C92" s="324"/>
      <c r="D92" s="195">
        <v>0</v>
      </c>
      <c r="E92" s="196">
        <v>0</v>
      </c>
      <c r="F92" s="197">
        <v>0</v>
      </c>
      <c r="G92" s="196">
        <v>0</v>
      </c>
      <c r="H92" s="197">
        <v>0</v>
      </c>
      <c r="I92" s="196">
        <v>0</v>
      </c>
      <c r="J92" s="197">
        <v>0</v>
      </c>
      <c r="K92" s="196">
        <v>0</v>
      </c>
      <c r="L92" s="197">
        <v>0</v>
      </c>
      <c r="M92" s="198">
        <v>0</v>
      </c>
      <c r="N92" s="12"/>
      <c r="O92" s="216">
        <f>SUM(D92:M92)</f>
        <v>0</v>
      </c>
    </row>
    <row r="93" spans="1:15" s="13" customFormat="1" ht="12.75" x14ac:dyDescent="0.2">
      <c r="A93" s="120"/>
      <c r="B93" s="335" t="s">
        <v>430</v>
      </c>
      <c r="C93" s="324"/>
      <c r="D93" s="195">
        <v>0</v>
      </c>
      <c r="E93" s="196">
        <v>0</v>
      </c>
      <c r="F93" s="197">
        <v>0</v>
      </c>
      <c r="G93" s="196">
        <v>0</v>
      </c>
      <c r="H93" s="197">
        <v>0</v>
      </c>
      <c r="I93" s="196">
        <v>0</v>
      </c>
      <c r="J93" s="197">
        <v>0</v>
      </c>
      <c r="K93" s="196">
        <v>0</v>
      </c>
      <c r="L93" s="197">
        <v>0</v>
      </c>
      <c r="M93" s="198">
        <v>0</v>
      </c>
      <c r="N93" s="12"/>
      <c r="O93" s="216">
        <f>SUM(D93:M93)</f>
        <v>0</v>
      </c>
    </row>
    <row r="94" spans="1:15" s="13" customFormat="1" ht="13.5" thickBot="1" x14ac:dyDescent="0.25">
      <c r="A94" s="124" t="s">
        <v>124</v>
      </c>
      <c r="B94" s="84" t="str">
        <f>Instructions!B37</f>
        <v xml:space="preserve">Subtotal Project Hardware Maintenance </v>
      </c>
      <c r="C94" s="318"/>
      <c r="D94" s="418">
        <f t="shared" ref="D94:M94" si="20">SUM(D85:D93)</f>
        <v>0</v>
      </c>
      <c r="E94" s="94">
        <f t="shared" si="20"/>
        <v>0</v>
      </c>
      <c r="F94" s="94">
        <f t="shared" si="20"/>
        <v>2500</v>
      </c>
      <c r="G94" s="94">
        <f t="shared" si="20"/>
        <v>2500</v>
      </c>
      <c r="H94" s="94">
        <f t="shared" si="20"/>
        <v>4000</v>
      </c>
      <c r="I94" s="94">
        <f t="shared" si="20"/>
        <v>4000</v>
      </c>
      <c r="J94" s="94">
        <f t="shared" si="20"/>
        <v>4000</v>
      </c>
      <c r="K94" s="94">
        <f t="shared" si="20"/>
        <v>4000</v>
      </c>
      <c r="L94" s="94">
        <f t="shared" si="20"/>
        <v>4000</v>
      </c>
      <c r="M94" s="322">
        <f t="shared" si="20"/>
        <v>4000</v>
      </c>
      <c r="N94" s="12"/>
      <c r="O94" s="7">
        <f>SUM(O85:O93)</f>
        <v>29000</v>
      </c>
    </row>
    <row r="95" spans="1:15" s="13" customFormat="1" ht="12.75" x14ac:dyDescent="0.2">
      <c r="A95" s="544" t="s">
        <v>479</v>
      </c>
      <c r="B95" s="545" t="str">
        <f>Instructions!B38</f>
        <v>Non-Project/Operational Maintenance - Hardware</v>
      </c>
      <c r="C95" s="508"/>
      <c r="D95" s="546"/>
      <c r="E95" s="546"/>
      <c r="F95" s="546"/>
      <c r="G95" s="546"/>
      <c r="H95" s="546"/>
      <c r="I95" s="546"/>
      <c r="J95" s="546"/>
      <c r="K95" s="546"/>
      <c r="L95" s="546"/>
      <c r="M95" s="546"/>
      <c r="N95" s="510"/>
      <c r="O95" s="547"/>
    </row>
    <row r="96" spans="1:15" s="13" customFormat="1" ht="12.75" x14ac:dyDescent="0.2">
      <c r="A96" s="548"/>
      <c r="B96" s="549" t="s">
        <v>268</v>
      </c>
      <c r="C96" s="514"/>
      <c r="D96" s="515">
        <v>0</v>
      </c>
      <c r="E96" s="516">
        <v>0</v>
      </c>
      <c r="F96" s="516">
        <v>0</v>
      </c>
      <c r="G96" s="516">
        <v>0</v>
      </c>
      <c r="H96" s="516">
        <v>0</v>
      </c>
      <c r="I96" s="516">
        <v>0</v>
      </c>
      <c r="J96" s="516">
        <v>0</v>
      </c>
      <c r="K96" s="516">
        <v>0</v>
      </c>
      <c r="L96" s="516">
        <v>0</v>
      </c>
      <c r="M96" s="517">
        <v>0</v>
      </c>
      <c r="N96" s="518"/>
      <c r="O96" s="519">
        <f t="shared" ref="O96:O100" si="21">SUM(D96:M96)</f>
        <v>0</v>
      </c>
    </row>
    <row r="97" spans="1:15" s="13" customFormat="1" ht="12.75" x14ac:dyDescent="0.2">
      <c r="A97" s="550"/>
      <c r="B97" s="551" t="s">
        <v>269</v>
      </c>
      <c r="C97" s="522"/>
      <c r="D97" s="523">
        <v>0</v>
      </c>
      <c r="E97" s="524">
        <v>0</v>
      </c>
      <c r="F97" s="524">
        <v>0</v>
      </c>
      <c r="G97" s="524">
        <v>0</v>
      </c>
      <c r="H97" s="524">
        <v>0</v>
      </c>
      <c r="I97" s="524">
        <v>0</v>
      </c>
      <c r="J97" s="524">
        <v>0</v>
      </c>
      <c r="K97" s="524">
        <v>0</v>
      </c>
      <c r="L97" s="524">
        <v>0</v>
      </c>
      <c r="M97" s="525">
        <v>0</v>
      </c>
      <c r="N97" s="518"/>
      <c r="O97" s="526">
        <f t="shared" si="21"/>
        <v>0</v>
      </c>
    </row>
    <row r="98" spans="1:15" s="13" customFormat="1" ht="12.75" x14ac:dyDescent="0.2">
      <c r="A98" s="550"/>
      <c r="B98" s="551" t="s">
        <v>270</v>
      </c>
      <c r="C98" s="522"/>
      <c r="D98" s="523">
        <v>0</v>
      </c>
      <c r="E98" s="524">
        <v>0</v>
      </c>
      <c r="F98" s="524">
        <v>0</v>
      </c>
      <c r="G98" s="524">
        <v>0</v>
      </c>
      <c r="H98" s="524">
        <v>0</v>
      </c>
      <c r="I98" s="524">
        <v>0</v>
      </c>
      <c r="J98" s="524">
        <v>0</v>
      </c>
      <c r="K98" s="524">
        <v>0</v>
      </c>
      <c r="L98" s="524">
        <v>0</v>
      </c>
      <c r="M98" s="525">
        <v>0</v>
      </c>
      <c r="N98" s="518"/>
      <c r="O98" s="526">
        <f t="shared" si="21"/>
        <v>0</v>
      </c>
    </row>
    <row r="99" spans="1:15" s="13" customFormat="1" ht="12.75" x14ac:dyDescent="0.2">
      <c r="A99" s="550"/>
      <c r="B99" s="551" t="s">
        <v>271</v>
      </c>
      <c r="C99" s="522"/>
      <c r="D99" s="523">
        <v>0</v>
      </c>
      <c r="E99" s="524">
        <v>0</v>
      </c>
      <c r="F99" s="524">
        <v>0</v>
      </c>
      <c r="G99" s="524">
        <v>0</v>
      </c>
      <c r="H99" s="524">
        <v>0</v>
      </c>
      <c r="I99" s="524">
        <v>0</v>
      </c>
      <c r="J99" s="524">
        <v>0</v>
      </c>
      <c r="K99" s="524">
        <v>0</v>
      </c>
      <c r="L99" s="524">
        <v>0</v>
      </c>
      <c r="M99" s="525">
        <v>0</v>
      </c>
      <c r="N99" s="518"/>
      <c r="O99" s="526">
        <f t="shared" si="21"/>
        <v>0</v>
      </c>
    </row>
    <row r="100" spans="1:15" s="13" customFormat="1" ht="12.75" x14ac:dyDescent="0.2">
      <c r="A100" s="550"/>
      <c r="B100" s="551" t="s">
        <v>272</v>
      </c>
      <c r="C100" s="522"/>
      <c r="D100" s="523">
        <v>0</v>
      </c>
      <c r="E100" s="524">
        <v>0</v>
      </c>
      <c r="F100" s="524">
        <v>0</v>
      </c>
      <c r="G100" s="524">
        <v>0</v>
      </c>
      <c r="H100" s="524">
        <v>0</v>
      </c>
      <c r="I100" s="524">
        <v>0</v>
      </c>
      <c r="J100" s="524">
        <v>0</v>
      </c>
      <c r="K100" s="524">
        <v>0</v>
      </c>
      <c r="L100" s="524">
        <v>0</v>
      </c>
      <c r="M100" s="525">
        <v>0</v>
      </c>
      <c r="N100" s="518"/>
      <c r="O100" s="526">
        <f t="shared" si="21"/>
        <v>0</v>
      </c>
    </row>
    <row r="101" spans="1:15" s="13" customFormat="1" ht="12.75" x14ac:dyDescent="0.2">
      <c r="A101" s="550"/>
      <c r="B101" s="551" t="s">
        <v>273</v>
      </c>
      <c r="C101" s="522"/>
      <c r="D101" s="523">
        <v>0</v>
      </c>
      <c r="E101" s="524">
        <v>0</v>
      </c>
      <c r="F101" s="524">
        <v>0</v>
      </c>
      <c r="G101" s="524">
        <v>0</v>
      </c>
      <c r="H101" s="524">
        <v>0</v>
      </c>
      <c r="I101" s="524">
        <v>0</v>
      </c>
      <c r="J101" s="524">
        <v>0</v>
      </c>
      <c r="K101" s="524">
        <v>0</v>
      </c>
      <c r="L101" s="524">
        <v>0</v>
      </c>
      <c r="M101" s="525">
        <v>0</v>
      </c>
      <c r="N101" s="518"/>
      <c r="O101" s="526">
        <f>SUM(D101:M101)</f>
        <v>0</v>
      </c>
    </row>
    <row r="102" spans="1:15" s="13" customFormat="1" ht="12.75" x14ac:dyDescent="0.2">
      <c r="A102" s="550"/>
      <c r="B102" s="552" t="s">
        <v>430</v>
      </c>
      <c r="C102" s="522"/>
      <c r="D102" s="523">
        <v>0</v>
      </c>
      <c r="E102" s="524">
        <v>0</v>
      </c>
      <c r="F102" s="524">
        <v>0</v>
      </c>
      <c r="G102" s="524">
        <v>0</v>
      </c>
      <c r="H102" s="524">
        <v>0</v>
      </c>
      <c r="I102" s="524">
        <v>0</v>
      </c>
      <c r="J102" s="524">
        <v>0</v>
      </c>
      <c r="K102" s="524">
        <v>0</v>
      </c>
      <c r="L102" s="524">
        <v>0</v>
      </c>
      <c r="M102" s="525">
        <v>0</v>
      </c>
      <c r="N102" s="518"/>
      <c r="O102" s="526">
        <f>SUM(D102:M102)</f>
        <v>0</v>
      </c>
    </row>
    <row r="103" spans="1:15" s="13" customFormat="1" ht="12.75" x14ac:dyDescent="0.2">
      <c r="A103" s="550"/>
      <c r="B103" s="552" t="s">
        <v>430</v>
      </c>
      <c r="C103" s="522"/>
      <c r="D103" s="523">
        <v>0</v>
      </c>
      <c r="E103" s="524">
        <v>0</v>
      </c>
      <c r="F103" s="524">
        <v>0</v>
      </c>
      <c r="G103" s="524">
        <v>0</v>
      </c>
      <c r="H103" s="524">
        <v>0</v>
      </c>
      <c r="I103" s="524">
        <v>0</v>
      </c>
      <c r="J103" s="524">
        <v>0</v>
      </c>
      <c r="K103" s="524">
        <v>0</v>
      </c>
      <c r="L103" s="524">
        <v>0</v>
      </c>
      <c r="M103" s="525">
        <v>0</v>
      </c>
      <c r="N103" s="518"/>
      <c r="O103" s="526">
        <f>SUM(D103:M103)</f>
        <v>0</v>
      </c>
    </row>
    <row r="104" spans="1:15" s="13" customFormat="1" ht="12.75" x14ac:dyDescent="0.2">
      <c r="A104" s="550"/>
      <c r="B104" s="552" t="s">
        <v>430</v>
      </c>
      <c r="C104" s="522"/>
      <c r="D104" s="523">
        <v>0</v>
      </c>
      <c r="E104" s="524">
        <v>0</v>
      </c>
      <c r="F104" s="524">
        <v>0</v>
      </c>
      <c r="G104" s="524">
        <v>0</v>
      </c>
      <c r="H104" s="524">
        <v>0</v>
      </c>
      <c r="I104" s="524">
        <v>0</v>
      </c>
      <c r="J104" s="524">
        <v>0</v>
      </c>
      <c r="K104" s="524">
        <v>0</v>
      </c>
      <c r="L104" s="524">
        <v>0</v>
      </c>
      <c r="M104" s="525">
        <v>0</v>
      </c>
      <c r="N104" s="518"/>
      <c r="O104" s="526">
        <f>SUM(D104:M104)</f>
        <v>0</v>
      </c>
    </row>
    <row r="105" spans="1:15" s="13" customFormat="1" ht="26.25" thickBot="1" x14ac:dyDescent="0.25">
      <c r="A105" s="553" t="s">
        <v>481</v>
      </c>
      <c r="B105" s="554" t="str">
        <f>Instructions!B39</f>
        <v>Subtotal Non-Project/Operational Hardware Maintenance</v>
      </c>
      <c r="C105" s="555"/>
      <c r="D105" s="530">
        <f t="shared" ref="D105:M105" si="22">SUM(D96:D104)</f>
        <v>0</v>
      </c>
      <c r="E105" s="531">
        <f t="shared" si="22"/>
        <v>0</v>
      </c>
      <c r="F105" s="531">
        <f t="shared" si="22"/>
        <v>0</v>
      </c>
      <c r="G105" s="531">
        <f t="shared" si="22"/>
        <v>0</v>
      </c>
      <c r="H105" s="531">
        <f t="shared" si="22"/>
        <v>0</v>
      </c>
      <c r="I105" s="531">
        <f t="shared" si="22"/>
        <v>0</v>
      </c>
      <c r="J105" s="531">
        <f t="shared" si="22"/>
        <v>0</v>
      </c>
      <c r="K105" s="531">
        <f t="shared" si="22"/>
        <v>0</v>
      </c>
      <c r="L105" s="531">
        <f t="shared" si="22"/>
        <v>0</v>
      </c>
      <c r="M105" s="532">
        <f t="shared" si="22"/>
        <v>0</v>
      </c>
      <c r="N105" s="518"/>
      <c r="O105" s="534">
        <f>SUM(O96:O104)</f>
        <v>0</v>
      </c>
    </row>
    <row r="106" spans="1:15" s="13" customFormat="1" ht="12.75" x14ac:dyDescent="0.2">
      <c r="A106" s="125" t="s">
        <v>125</v>
      </c>
      <c r="B106" s="11" t="str">
        <f>Instructions!B40</f>
        <v>Project Procurement - Software</v>
      </c>
      <c r="C106" s="386"/>
      <c r="D106" s="21"/>
      <c r="E106" s="21"/>
      <c r="F106" s="21"/>
      <c r="G106" s="21"/>
      <c r="H106" s="21"/>
      <c r="I106" s="21"/>
      <c r="J106" s="21"/>
      <c r="K106" s="21"/>
      <c r="L106" s="21"/>
      <c r="M106" s="21"/>
      <c r="N106" s="23"/>
      <c r="O106" s="218"/>
    </row>
    <row r="107" spans="1:15" s="13" customFormat="1" ht="12.75" x14ac:dyDescent="0.2">
      <c r="A107" s="123"/>
      <c r="B107" s="47" t="s">
        <v>274</v>
      </c>
      <c r="C107" s="325"/>
      <c r="D107" s="191">
        <v>0</v>
      </c>
      <c r="E107" s="192">
        <v>0</v>
      </c>
      <c r="F107" s="193">
        <v>0</v>
      </c>
      <c r="G107" s="192">
        <v>0</v>
      </c>
      <c r="H107" s="193">
        <v>0</v>
      </c>
      <c r="I107" s="192">
        <v>0</v>
      </c>
      <c r="J107" s="193">
        <v>0</v>
      </c>
      <c r="K107" s="192">
        <v>0</v>
      </c>
      <c r="L107" s="193">
        <v>0</v>
      </c>
      <c r="M107" s="194">
        <v>0</v>
      </c>
      <c r="N107" s="12"/>
      <c r="O107" s="215">
        <f t="shared" ref="O107:O115" si="23">SUM(D107:M107)</f>
        <v>0</v>
      </c>
    </row>
    <row r="108" spans="1:15" s="13" customFormat="1" ht="12.75" x14ac:dyDescent="0.2">
      <c r="A108" s="120"/>
      <c r="B108" s="44" t="s">
        <v>275</v>
      </c>
      <c r="C108" s="727" t="s">
        <v>752</v>
      </c>
      <c r="D108" s="724">
        <v>0</v>
      </c>
      <c r="E108" s="725">
        <v>0</v>
      </c>
      <c r="F108" s="726">
        <v>3000</v>
      </c>
      <c r="G108" s="726">
        <v>3000</v>
      </c>
      <c r="H108" s="726">
        <v>3000</v>
      </c>
      <c r="I108" s="726">
        <v>3000</v>
      </c>
      <c r="J108" s="726">
        <v>3000</v>
      </c>
      <c r="K108" s="726">
        <v>3000</v>
      </c>
      <c r="L108" s="726">
        <v>3000</v>
      </c>
      <c r="M108" s="726">
        <v>3000</v>
      </c>
      <c r="N108" s="12"/>
      <c r="O108" s="216">
        <f t="shared" si="23"/>
        <v>24000</v>
      </c>
    </row>
    <row r="109" spans="1:15" s="13" customFormat="1" ht="12.75" x14ac:dyDescent="0.2">
      <c r="A109" s="120"/>
      <c r="B109" s="44" t="s">
        <v>276</v>
      </c>
      <c r="C109" s="727" t="s">
        <v>753</v>
      </c>
      <c r="D109" s="724">
        <v>0</v>
      </c>
      <c r="E109" s="725">
        <v>0</v>
      </c>
      <c r="F109" s="726">
        <v>3000</v>
      </c>
      <c r="G109" s="726">
        <v>3000</v>
      </c>
      <c r="H109" s="726">
        <v>3000</v>
      </c>
      <c r="I109" s="726">
        <v>3000</v>
      </c>
      <c r="J109" s="726">
        <v>3000</v>
      </c>
      <c r="K109" s="726">
        <v>3000</v>
      </c>
      <c r="L109" s="726">
        <v>3000</v>
      </c>
      <c r="M109" s="726">
        <v>3000</v>
      </c>
      <c r="N109" s="12"/>
      <c r="O109" s="216">
        <f t="shared" si="23"/>
        <v>24000</v>
      </c>
    </row>
    <row r="110" spans="1:15" s="13" customFormat="1" ht="12.75" x14ac:dyDescent="0.2">
      <c r="A110" s="120"/>
      <c r="B110" s="44" t="s">
        <v>277</v>
      </c>
      <c r="C110" s="324"/>
      <c r="D110" s="195">
        <v>0</v>
      </c>
      <c r="E110" s="196">
        <v>0</v>
      </c>
      <c r="F110" s="197">
        <v>0</v>
      </c>
      <c r="G110" s="196">
        <v>0</v>
      </c>
      <c r="H110" s="197">
        <v>0</v>
      </c>
      <c r="I110" s="196">
        <v>0</v>
      </c>
      <c r="J110" s="197">
        <v>0</v>
      </c>
      <c r="K110" s="196">
        <v>0</v>
      </c>
      <c r="L110" s="197">
        <v>0</v>
      </c>
      <c r="M110" s="198">
        <v>0</v>
      </c>
      <c r="N110" s="12"/>
      <c r="O110" s="216">
        <f t="shared" si="23"/>
        <v>0</v>
      </c>
    </row>
    <row r="111" spans="1:15" s="13" customFormat="1" ht="12.75" x14ac:dyDescent="0.2">
      <c r="A111" s="120"/>
      <c r="B111" s="44" t="s">
        <v>278</v>
      </c>
      <c r="C111" s="324"/>
      <c r="D111" s="195">
        <v>0</v>
      </c>
      <c r="E111" s="196">
        <v>0</v>
      </c>
      <c r="F111" s="197">
        <v>0</v>
      </c>
      <c r="G111" s="196">
        <v>0</v>
      </c>
      <c r="H111" s="197">
        <v>0</v>
      </c>
      <c r="I111" s="196">
        <v>0</v>
      </c>
      <c r="J111" s="197">
        <v>0</v>
      </c>
      <c r="K111" s="196">
        <v>0</v>
      </c>
      <c r="L111" s="197">
        <v>0</v>
      </c>
      <c r="M111" s="198">
        <v>0</v>
      </c>
      <c r="N111" s="12"/>
      <c r="O111" s="216">
        <f t="shared" si="23"/>
        <v>0</v>
      </c>
    </row>
    <row r="112" spans="1:15" s="13" customFormat="1" ht="12.75" x14ac:dyDescent="0.2">
      <c r="A112" s="120"/>
      <c r="B112" s="44" t="s">
        <v>279</v>
      </c>
      <c r="C112" s="324"/>
      <c r="D112" s="195">
        <v>0</v>
      </c>
      <c r="E112" s="196">
        <v>0</v>
      </c>
      <c r="F112" s="197">
        <v>0</v>
      </c>
      <c r="G112" s="196">
        <v>0</v>
      </c>
      <c r="H112" s="197">
        <v>0</v>
      </c>
      <c r="I112" s="196">
        <v>0</v>
      </c>
      <c r="J112" s="197">
        <v>0</v>
      </c>
      <c r="K112" s="196">
        <v>0</v>
      </c>
      <c r="L112" s="197">
        <v>0</v>
      </c>
      <c r="M112" s="198">
        <v>0</v>
      </c>
      <c r="N112" s="12"/>
      <c r="O112" s="216">
        <f>SUM(D112:M112)</f>
        <v>0</v>
      </c>
    </row>
    <row r="113" spans="1:15" s="13" customFormat="1" ht="12.75" x14ac:dyDescent="0.2">
      <c r="A113" s="120"/>
      <c r="B113" s="335" t="s">
        <v>431</v>
      </c>
      <c r="C113" s="324"/>
      <c r="D113" s="195">
        <v>0</v>
      </c>
      <c r="E113" s="196">
        <v>0</v>
      </c>
      <c r="F113" s="197">
        <v>0</v>
      </c>
      <c r="G113" s="196">
        <v>0</v>
      </c>
      <c r="H113" s="197">
        <v>0</v>
      </c>
      <c r="I113" s="196">
        <v>0</v>
      </c>
      <c r="J113" s="197">
        <v>0</v>
      </c>
      <c r="K113" s="196">
        <v>0</v>
      </c>
      <c r="L113" s="197">
        <v>0</v>
      </c>
      <c r="M113" s="198">
        <v>0</v>
      </c>
      <c r="N113" s="12"/>
      <c r="O113" s="216">
        <f>SUM(D113:M113)</f>
        <v>0</v>
      </c>
    </row>
    <row r="114" spans="1:15" s="13" customFormat="1" ht="12.75" x14ac:dyDescent="0.2">
      <c r="A114" s="120"/>
      <c r="B114" s="335" t="s">
        <v>431</v>
      </c>
      <c r="C114" s="324"/>
      <c r="D114" s="195">
        <v>0</v>
      </c>
      <c r="E114" s="196">
        <v>0</v>
      </c>
      <c r="F114" s="197">
        <v>0</v>
      </c>
      <c r="G114" s="196">
        <v>0</v>
      </c>
      <c r="H114" s="197">
        <v>0</v>
      </c>
      <c r="I114" s="196">
        <v>0</v>
      </c>
      <c r="J114" s="197">
        <v>0</v>
      </c>
      <c r="K114" s="196">
        <v>0</v>
      </c>
      <c r="L114" s="197">
        <v>0</v>
      </c>
      <c r="M114" s="198">
        <v>0</v>
      </c>
      <c r="N114" s="12"/>
      <c r="O114" s="216">
        <f>SUM(D114:M114)</f>
        <v>0</v>
      </c>
    </row>
    <row r="115" spans="1:15" s="13" customFormat="1" ht="12.75" x14ac:dyDescent="0.2">
      <c r="A115" s="121"/>
      <c r="B115" s="337" t="s">
        <v>431</v>
      </c>
      <c r="C115" s="324"/>
      <c r="D115" s="195">
        <v>0</v>
      </c>
      <c r="E115" s="196">
        <v>0</v>
      </c>
      <c r="F115" s="197">
        <v>0</v>
      </c>
      <c r="G115" s="196">
        <v>0</v>
      </c>
      <c r="H115" s="197">
        <v>0</v>
      </c>
      <c r="I115" s="196">
        <v>0</v>
      </c>
      <c r="J115" s="197">
        <v>0</v>
      </c>
      <c r="K115" s="196">
        <v>0</v>
      </c>
      <c r="L115" s="197">
        <v>0</v>
      </c>
      <c r="M115" s="198">
        <v>0</v>
      </c>
      <c r="N115" s="12"/>
      <c r="O115" s="221">
        <f t="shared" si="23"/>
        <v>0</v>
      </c>
    </row>
    <row r="116" spans="1:15" s="13" customFormat="1" ht="13.5" thickBot="1" x14ac:dyDescent="0.25">
      <c r="A116" s="117" t="s">
        <v>126</v>
      </c>
      <c r="B116" s="46" t="str">
        <f>Instructions!B41</f>
        <v>Subtotal Project Software Procurement</v>
      </c>
      <c r="C116" s="318"/>
      <c r="D116" s="419">
        <f t="shared" ref="D116:M116" si="24">SUM(D107:D115)</f>
        <v>0</v>
      </c>
      <c r="E116" s="419">
        <f t="shared" si="24"/>
        <v>0</v>
      </c>
      <c r="F116" s="419">
        <f t="shared" si="24"/>
        <v>6000</v>
      </c>
      <c r="G116" s="419">
        <f t="shared" si="24"/>
        <v>6000</v>
      </c>
      <c r="H116" s="419">
        <f t="shared" si="24"/>
        <v>6000</v>
      </c>
      <c r="I116" s="419">
        <f t="shared" si="24"/>
        <v>6000</v>
      </c>
      <c r="J116" s="419">
        <f t="shared" si="24"/>
        <v>6000</v>
      </c>
      <c r="K116" s="419">
        <f t="shared" si="24"/>
        <v>6000</v>
      </c>
      <c r="L116" s="419">
        <f t="shared" si="24"/>
        <v>6000</v>
      </c>
      <c r="M116" s="500">
        <f t="shared" si="24"/>
        <v>6000</v>
      </c>
      <c r="N116" s="12"/>
      <c r="O116" s="7">
        <f>SUM(O107:O115)</f>
        <v>48000</v>
      </c>
    </row>
    <row r="117" spans="1:15" s="13" customFormat="1" ht="12.75" x14ac:dyDescent="0.2">
      <c r="A117" s="126" t="s">
        <v>127</v>
      </c>
      <c r="B117" s="27" t="str">
        <f>Instructions!B42</f>
        <v>Project Maintenance - Software</v>
      </c>
      <c r="C117" s="385"/>
      <c r="D117" s="21"/>
      <c r="E117" s="21"/>
      <c r="F117" s="21"/>
      <c r="G117" s="21"/>
      <c r="H117" s="21"/>
      <c r="I117" s="21"/>
      <c r="J117" s="21"/>
      <c r="K117" s="21"/>
      <c r="L117" s="21"/>
      <c r="M117" s="21"/>
      <c r="N117" s="23"/>
      <c r="O117" s="218"/>
    </row>
    <row r="118" spans="1:15" s="13" customFormat="1" ht="12.75" x14ac:dyDescent="0.2">
      <c r="A118" s="123"/>
      <c r="B118" s="47" t="s">
        <v>274</v>
      </c>
      <c r="C118" s="325"/>
      <c r="D118" s="191">
        <v>0</v>
      </c>
      <c r="E118" s="192">
        <v>0</v>
      </c>
      <c r="F118" s="193">
        <v>0</v>
      </c>
      <c r="G118" s="192">
        <v>0</v>
      </c>
      <c r="H118" s="193">
        <v>0</v>
      </c>
      <c r="I118" s="192">
        <v>0</v>
      </c>
      <c r="J118" s="193">
        <v>0</v>
      </c>
      <c r="K118" s="192">
        <v>0</v>
      </c>
      <c r="L118" s="193">
        <v>0</v>
      </c>
      <c r="M118" s="194">
        <v>0</v>
      </c>
      <c r="N118" s="12"/>
      <c r="O118" s="215">
        <f t="shared" ref="O118:O126" si="25">SUM(D118:M118)</f>
        <v>0</v>
      </c>
    </row>
    <row r="119" spans="1:15" s="13" customFormat="1" ht="12.75" x14ac:dyDescent="0.2">
      <c r="A119" s="120"/>
      <c r="B119" s="44" t="s">
        <v>275</v>
      </c>
      <c r="C119" s="324"/>
      <c r="D119" s="195">
        <v>0</v>
      </c>
      <c r="E119" s="196">
        <v>0</v>
      </c>
      <c r="F119" s="197">
        <v>0</v>
      </c>
      <c r="G119" s="196">
        <v>0</v>
      </c>
      <c r="H119" s="197">
        <v>0</v>
      </c>
      <c r="I119" s="196">
        <v>0</v>
      </c>
      <c r="J119" s="197">
        <v>0</v>
      </c>
      <c r="K119" s="196">
        <v>0</v>
      </c>
      <c r="L119" s="197">
        <v>0</v>
      </c>
      <c r="M119" s="198">
        <v>0</v>
      </c>
      <c r="N119" s="12"/>
      <c r="O119" s="216">
        <f t="shared" si="25"/>
        <v>0</v>
      </c>
    </row>
    <row r="120" spans="1:15" s="13" customFormat="1" ht="12.75" x14ac:dyDescent="0.2">
      <c r="A120" s="120"/>
      <c r="B120" s="44" t="s">
        <v>276</v>
      </c>
      <c r="C120" s="324"/>
      <c r="D120" s="195">
        <v>0</v>
      </c>
      <c r="E120" s="196">
        <v>0</v>
      </c>
      <c r="F120" s="197">
        <v>0</v>
      </c>
      <c r="G120" s="196">
        <v>0</v>
      </c>
      <c r="H120" s="197">
        <v>0</v>
      </c>
      <c r="I120" s="196">
        <v>0</v>
      </c>
      <c r="J120" s="197">
        <v>0</v>
      </c>
      <c r="K120" s="196">
        <v>0</v>
      </c>
      <c r="L120" s="197">
        <v>0</v>
      </c>
      <c r="M120" s="198">
        <v>0</v>
      </c>
      <c r="N120" s="12"/>
      <c r="O120" s="216">
        <f t="shared" si="25"/>
        <v>0</v>
      </c>
    </row>
    <row r="121" spans="1:15" s="13" customFormat="1" ht="12.75" x14ac:dyDescent="0.2">
      <c r="A121" s="120"/>
      <c r="B121" s="44" t="s">
        <v>277</v>
      </c>
      <c r="C121" s="324"/>
      <c r="D121" s="195">
        <v>0</v>
      </c>
      <c r="E121" s="196">
        <v>0</v>
      </c>
      <c r="F121" s="197">
        <v>0</v>
      </c>
      <c r="G121" s="196">
        <v>0</v>
      </c>
      <c r="H121" s="197">
        <v>0</v>
      </c>
      <c r="I121" s="196">
        <v>0</v>
      </c>
      <c r="J121" s="197">
        <v>0</v>
      </c>
      <c r="K121" s="196">
        <v>0</v>
      </c>
      <c r="L121" s="197">
        <v>0</v>
      </c>
      <c r="M121" s="198">
        <v>0</v>
      </c>
      <c r="N121" s="12"/>
      <c r="O121" s="216">
        <f t="shared" si="25"/>
        <v>0</v>
      </c>
    </row>
    <row r="122" spans="1:15" s="13" customFormat="1" ht="12.75" x14ac:dyDescent="0.2">
      <c r="A122" s="120"/>
      <c r="B122" s="44" t="s">
        <v>278</v>
      </c>
      <c r="C122" s="324"/>
      <c r="D122" s="195">
        <v>0</v>
      </c>
      <c r="E122" s="196">
        <v>0</v>
      </c>
      <c r="F122" s="197">
        <v>0</v>
      </c>
      <c r="G122" s="196">
        <v>0</v>
      </c>
      <c r="H122" s="197">
        <v>0</v>
      </c>
      <c r="I122" s="196">
        <v>0</v>
      </c>
      <c r="J122" s="197">
        <v>0</v>
      </c>
      <c r="K122" s="196">
        <v>0</v>
      </c>
      <c r="L122" s="197">
        <v>0</v>
      </c>
      <c r="M122" s="198">
        <v>0</v>
      </c>
      <c r="N122" s="12"/>
      <c r="O122" s="216">
        <f t="shared" si="25"/>
        <v>0</v>
      </c>
    </row>
    <row r="123" spans="1:15" s="13" customFormat="1" ht="12.75" x14ac:dyDescent="0.2">
      <c r="A123" s="120"/>
      <c r="B123" s="44" t="s">
        <v>279</v>
      </c>
      <c r="C123" s="324"/>
      <c r="D123" s="195">
        <v>0</v>
      </c>
      <c r="E123" s="196">
        <v>0</v>
      </c>
      <c r="F123" s="197">
        <v>0</v>
      </c>
      <c r="G123" s="196">
        <v>0</v>
      </c>
      <c r="H123" s="197">
        <v>0</v>
      </c>
      <c r="I123" s="196">
        <v>0</v>
      </c>
      <c r="J123" s="197">
        <v>0</v>
      </c>
      <c r="K123" s="196">
        <v>0</v>
      </c>
      <c r="L123" s="197">
        <v>0</v>
      </c>
      <c r="M123" s="198">
        <v>0</v>
      </c>
      <c r="N123" s="12"/>
      <c r="O123" s="216">
        <f>SUM(D123:M123)</f>
        <v>0</v>
      </c>
    </row>
    <row r="124" spans="1:15" s="13" customFormat="1" ht="12.75" x14ac:dyDescent="0.2">
      <c r="A124" s="120"/>
      <c r="B124" s="335" t="s">
        <v>431</v>
      </c>
      <c r="C124" s="324"/>
      <c r="D124" s="195">
        <v>0</v>
      </c>
      <c r="E124" s="196">
        <v>0</v>
      </c>
      <c r="F124" s="197">
        <v>0</v>
      </c>
      <c r="G124" s="196">
        <v>0</v>
      </c>
      <c r="H124" s="197">
        <v>0</v>
      </c>
      <c r="I124" s="196">
        <v>0</v>
      </c>
      <c r="J124" s="197">
        <v>0</v>
      </c>
      <c r="K124" s="196">
        <v>0</v>
      </c>
      <c r="L124" s="197">
        <v>0</v>
      </c>
      <c r="M124" s="198">
        <v>0</v>
      </c>
      <c r="N124" s="12"/>
      <c r="O124" s="216">
        <f>SUM(D124:M124)</f>
        <v>0</v>
      </c>
    </row>
    <row r="125" spans="1:15" s="13" customFormat="1" ht="12.75" x14ac:dyDescent="0.2">
      <c r="A125" s="120"/>
      <c r="B125" s="335" t="s">
        <v>431</v>
      </c>
      <c r="C125" s="324"/>
      <c r="D125" s="195">
        <v>0</v>
      </c>
      <c r="E125" s="196">
        <v>0</v>
      </c>
      <c r="F125" s="197">
        <v>0</v>
      </c>
      <c r="G125" s="196">
        <v>0</v>
      </c>
      <c r="H125" s="197">
        <v>0</v>
      </c>
      <c r="I125" s="196">
        <v>0</v>
      </c>
      <c r="J125" s="197">
        <v>0</v>
      </c>
      <c r="K125" s="196">
        <v>0</v>
      </c>
      <c r="L125" s="197">
        <v>0</v>
      </c>
      <c r="M125" s="198">
        <v>0</v>
      </c>
      <c r="N125" s="12"/>
      <c r="O125" s="216">
        <f>SUM(D125:M125)</f>
        <v>0</v>
      </c>
    </row>
    <row r="126" spans="1:15" s="13" customFormat="1" ht="12.75" x14ac:dyDescent="0.2">
      <c r="A126" s="121"/>
      <c r="B126" s="336" t="s">
        <v>431</v>
      </c>
      <c r="C126" s="334"/>
      <c r="D126" s="195">
        <v>0</v>
      </c>
      <c r="E126" s="196">
        <v>0</v>
      </c>
      <c r="F126" s="197">
        <v>0</v>
      </c>
      <c r="G126" s="196">
        <v>0</v>
      </c>
      <c r="H126" s="197">
        <v>0</v>
      </c>
      <c r="I126" s="196">
        <v>0</v>
      </c>
      <c r="J126" s="197">
        <v>0</v>
      </c>
      <c r="K126" s="196">
        <v>0</v>
      </c>
      <c r="L126" s="197">
        <v>0</v>
      </c>
      <c r="M126" s="198">
        <v>0</v>
      </c>
      <c r="N126" s="12"/>
      <c r="O126" s="221">
        <f t="shared" si="25"/>
        <v>0</v>
      </c>
    </row>
    <row r="127" spans="1:15" s="13" customFormat="1" ht="13.5" thickBot="1" x14ac:dyDescent="0.25">
      <c r="A127" s="117" t="s">
        <v>128</v>
      </c>
      <c r="B127" s="46" t="str">
        <f>Instructions!B43</f>
        <v>Subtotal Project Software Maintenance</v>
      </c>
      <c r="C127" s="308"/>
      <c r="D127" s="418">
        <f t="shared" ref="D127:M127" si="26">SUM(D118:D126)</f>
        <v>0</v>
      </c>
      <c r="E127" s="94">
        <f t="shared" si="26"/>
        <v>0</v>
      </c>
      <c r="F127" s="94">
        <f t="shared" si="26"/>
        <v>0</v>
      </c>
      <c r="G127" s="94">
        <f t="shared" si="26"/>
        <v>0</v>
      </c>
      <c r="H127" s="94">
        <f t="shared" si="26"/>
        <v>0</v>
      </c>
      <c r="I127" s="94">
        <f t="shared" si="26"/>
        <v>0</v>
      </c>
      <c r="J127" s="94">
        <f t="shared" si="26"/>
        <v>0</v>
      </c>
      <c r="K127" s="94">
        <f t="shared" si="26"/>
        <v>0</v>
      </c>
      <c r="L127" s="94">
        <f t="shared" si="26"/>
        <v>0</v>
      </c>
      <c r="M127" s="322">
        <f t="shared" si="26"/>
        <v>0</v>
      </c>
      <c r="N127" s="12"/>
      <c r="O127" s="7">
        <f>SUM(O118:O126)</f>
        <v>0</v>
      </c>
    </row>
    <row r="128" spans="1:15" s="13" customFormat="1" ht="12.75" x14ac:dyDescent="0.2">
      <c r="A128" s="556" t="s">
        <v>483</v>
      </c>
      <c r="B128" s="557" t="str">
        <f>Instructions!B44</f>
        <v xml:space="preserve">Non-Project/Operational Maintenance - Software </v>
      </c>
      <c r="C128" s="508"/>
      <c r="D128" s="546"/>
      <c r="E128" s="546"/>
      <c r="F128" s="546"/>
      <c r="G128" s="546"/>
      <c r="H128" s="546"/>
      <c r="I128" s="546"/>
      <c r="J128" s="546"/>
      <c r="K128" s="546"/>
      <c r="L128" s="546"/>
      <c r="M128" s="546"/>
      <c r="N128" s="510"/>
      <c r="O128" s="547"/>
    </row>
    <row r="129" spans="1:15" s="13" customFormat="1" ht="12.75" x14ac:dyDescent="0.2">
      <c r="A129" s="548"/>
      <c r="B129" s="549" t="s">
        <v>274</v>
      </c>
      <c r="C129" s="514"/>
      <c r="D129" s="515">
        <v>0</v>
      </c>
      <c r="E129" s="516">
        <v>0</v>
      </c>
      <c r="F129" s="516">
        <v>0</v>
      </c>
      <c r="G129" s="516">
        <v>0</v>
      </c>
      <c r="H129" s="516">
        <v>0</v>
      </c>
      <c r="I129" s="516">
        <v>0</v>
      </c>
      <c r="J129" s="516">
        <v>0</v>
      </c>
      <c r="K129" s="516">
        <v>0</v>
      </c>
      <c r="L129" s="516">
        <v>0</v>
      </c>
      <c r="M129" s="517">
        <v>0</v>
      </c>
      <c r="N129" s="518"/>
      <c r="O129" s="519">
        <f t="shared" ref="O129:O133" si="27">SUM(D129:M129)</f>
        <v>0</v>
      </c>
    </row>
    <row r="130" spans="1:15" s="13" customFormat="1" ht="12.75" x14ac:dyDescent="0.2">
      <c r="A130" s="550"/>
      <c r="B130" s="551" t="s">
        <v>275</v>
      </c>
      <c r="C130" s="522"/>
      <c r="D130" s="523">
        <v>0</v>
      </c>
      <c r="E130" s="524">
        <v>0</v>
      </c>
      <c r="F130" s="524">
        <v>0</v>
      </c>
      <c r="G130" s="524">
        <v>0</v>
      </c>
      <c r="H130" s="524">
        <v>0</v>
      </c>
      <c r="I130" s="524">
        <v>0</v>
      </c>
      <c r="J130" s="524">
        <v>0</v>
      </c>
      <c r="K130" s="524">
        <v>0</v>
      </c>
      <c r="L130" s="524">
        <v>0</v>
      </c>
      <c r="M130" s="525">
        <v>0</v>
      </c>
      <c r="N130" s="518"/>
      <c r="O130" s="526">
        <f t="shared" si="27"/>
        <v>0</v>
      </c>
    </row>
    <row r="131" spans="1:15" s="13" customFormat="1" ht="12.75" x14ac:dyDescent="0.2">
      <c r="A131" s="550"/>
      <c r="B131" s="551" t="s">
        <v>276</v>
      </c>
      <c r="C131" s="522"/>
      <c r="D131" s="523">
        <v>0</v>
      </c>
      <c r="E131" s="524">
        <v>0</v>
      </c>
      <c r="F131" s="524">
        <v>0</v>
      </c>
      <c r="G131" s="524">
        <v>0</v>
      </c>
      <c r="H131" s="524">
        <v>0</v>
      </c>
      <c r="I131" s="524">
        <v>0</v>
      </c>
      <c r="J131" s="524">
        <v>0</v>
      </c>
      <c r="K131" s="524">
        <v>0</v>
      </c>
      <c r="L131" s="524">
        <v>0</v>
      </c>
      <c r="M131" s="525">
        <v>0</v>
      </c>
      <c r="N131" s="518"/>
      <c r="O131" s="526">
        <f t="shared" si="27"/>
        <v>0</v>
      </c>
    </row>
    <row r="132" spans="1:15" s="13" customFormat="1" ht="12.75" x14ac:dyDescent="0.2">
      <c r="A132" s="550"/>
      <c r="B132" s="551" t="s">
        <v>277</v>
      </c>
      <c r="C132" s="522"/>
      <c r="D132" s="523">
        <v>0</v>
      </c>
      <c r="E132" s="524">
        <v>0</v>
      </c>
      <c r="F132" s="524">
        <v>0</v>
      </c>
      <c r="G132" s="524">
        <v>0</v>
      </c>
      <c r="H132" s="524">
        <v>0</v>
      </c>
      <c r="I132" s="524">
        <v>0</v>
      </c>
      <c r="J132" s="524">
        <v>0</v>
      </c>
      <c r="K132" s="524">
        <v>0</v>
      </c>
      <c r="L132" s="524">
        <v>0</v>
      </c>
      <c r="M132" s="525">
        <v>0</v>
      </c>
      <c r="N132" s="518"/>
      <c r="O132" s="526">
        <f t="shared" si="27"/>
        <v>0</v>
      </c>
    </row>
    <row r="133" spans="1:15" s="13" customFormat="1" ht="12.75" x14ac:dyDescent="0.2">
      <c r="A133" s="550"/>
      <c r="B133" s="551" t="s">
        <v>278</v>
      </c>
      <c r="C133" s="522"/>
      <c r="D133" s="523">
        <v>0</v>
      </c>
      <c r="E133" s="524">
        <v>0</v>
      </c>
      <c r="F133" s="524">
        <v>0</v>
      </c>
      <c r="G133" s="524">
        <v>0</v>
      </c>
      <c r="H133" s="524">
        <v>0</v>
      </c>
      <c r="I133" s="524">
        <v>0</v>
      </c>
      <c r="J133" s="524">
        <v>0</v>
      </c>
      <c r="K133" s="524">
        <v>0</v>
      </c>
      <c r="L133" s="524">
        <v>0</v>
      </c>
      <c r="M133" s="525">
        <v>0</v>
      </c>
      <c r="N133" s="518"/>
      <c r="O133" s="526">
        <f t="shared" si="27"/>
        <v>0</v>
      </c>
    </row>
    <row r="134" spans="1:15" s="13" customFormat="1" ht="12.75" x14ac:dyDescent="0.2">
      <c r="A134" s="550"/>
      <c r="B134" s="551" t="s">
        <v>279</v>
      </c>
      <c r="C134" s="522"/>
      <c r="D134" s="523">
        <v>0</v>
      </c>
      <c r="E134" s="524">
        <v>0</v>
      </c>
      <c r="F134" s="524">
        <v>0</v>
      </c>
      <c r="G134" s="524">
        <v>0</v>
      </c>
      <c r="H134" s="524">
        <v>0</v>
      </c>
      <c r="I134" s="524">
        <v>0</v>
      </c>
      <c r="J134" s="524">
        <v>0</v>
      </c>
      <c r="K134" s="524">
        <v>0</v>
      </c>
      <c r="L134" s="524">
        <v>0</v>
      </c>
      <c r="M134" s="525">
        <v>0</v>
      </c>
      <c r="N134" s="518"/>
      <c r="O134" s="526">
        <f>SUM(D134:M134)</f>
        <v>0</v>
      </c>
    </row>
    <row r="135" spans="1:15" s="13" customFormat="1" ht="12.75" x14ac:dyDescent="0.2">
      <c r="A135" s="550"/>
      <c r="B135" s="552" t="s">
        <v>431</v>
      </c>
      <c r="C135" s="522"/>
      <c r="D135" s="523">
        <v>0</v>
      </c>
      <c r="E135" s="524">
        <v>0</v>
      </c>
      <c r="F135" s="524">
        <v>0</v>
      </c>
      <c r="G135" s="524">
        <v>0</v>
      </c>
      <c r="H135" s="524">
        <v>0</v>
      </c>
      <c r="I135" s="524">
        <v>0</v>
      </c>
      <c r="J135" s="524">
        <v>0</v>
      </c>
      <c r="K135" s="524">
        <v>0</v>
      </c>
      <c r="L135" s="524">
        <v>0</v>
      </c>
      <c r="M135" s="525">
        <v>0</v>
      </c>
      <c r="N135" s="518"/>
      <c r="O135" s="526">
        <f>SUM(D135:M135)</f>
        <v>0</v>
      </c>
    </row>
    <row r="136" spans="1:15" s="13" customFormat="1" ht="12.75" x14ac:dyDescent="0.2">
      <c r="A136" s="550"/>
      <c r="B136" s="552" t="s">
        <v>431</v>
      </c>
      <c r="C136" s="522"/>
      <c r="D136" s="523">
        <v>0</v>
      </c>
      <c r="E136" s="524">
        <v>0</v>
      </c>
      <c r="F136" s="524">
        <v>0</v>
      </c>
      <c r="G136" s="524">
        <v>0</v>
      </c>
      <c r="H136" s="524">
        <v>0</v>
      </c>
      <c r="I136" s="524">
        <v>0</v>
      </c>
      <c r="J136" s="524">
        <v>0</v>
      </c>
      <c r="K136" s="524">
        <v>0</v>
      </c>
      <c r="L136" s="524">
        <v>0</v>
      </c>
      <c r="M136" s="525">
        <v>0</v>
      </c>
      <c r="N136" s="518"/>
      <c r="O136" s="526">
        <f>SUM(D136:M136)</f>
        <v>0</v>
      </c>
    </row>
    <row r="137" spans="1:15" s="13" customFormat="1" ht="12.75" x14ac:dyDescent="0.2">
      <c r="A137" s="558"/>
      <c r="B137" s="559" t="s">
        <v>431</v>
      </c>
      <c r="C137" s="560"/>
      <c r="D137" s="523">
        <v>0</v>
      </c>
      <c r="E137" s="524">
        <v>0</v>
      </c>
      <c r="F137" s="524">
        <v>0</v>
      </c>
      <c r="G137" s="524">
        <v>0</v>
      </c>
      <c r="H137" s="524">
        <v>0</v>
      </c>
      <c r="I137" s="524">
        <v>0</v>
      </c>
      <c r="J137" s="524">
        <v>0</v>
      </c>
      <c r="K137" s="524">
        <v>0</v>
      </c>
      <c r="L137" s="524">
        <v>0</v>
      </c>
      <c r="M137" s="525">
        <v>0</v>
      </c>
      <c r="N137" s="518"/>
      <c r="O137" s="561">
        <f t="shared" ref="O137" si="28">SUM(D137:M137)</f>
        <v>0</v>
      </c>
    </row>
    <row r="138" spans="1:15" s="13" customFormat="1" ht="31.5" customHeight="1" thickBot="1" x14ac:dyDescent="0.25">
      <c r="A138" s="562" t="s">
        <v>485</v>
      </c>
      <c r="B138" s="563" t="str">
        <f>Instructions!B45</f>
        <v>Subtotal Non-Project/Operational Software Maintenance</v>
      </c>
      <c r="C138" s="564"/>
      <c r="D138" s="535">
        <f t="shared" ref="D138:M138" si="29">SUM(D129:D137)</f>
        <v>0</v>
      </c>
      <c r="E138" s="535">
        <f t="shared" si="29"/>
        <v>0</v>
      </c>
      <c r="F138" s="535">
        <f t="shared" si="29"/>
        <v>0</v>
      </c>
      <c r="G138" s="535">
        <f t="shared" si="29"/>
        <v>0</v>
      </c>
      <c r="H138" s="535">
        <f t="shared" si="29"/>
        <v>0</v>
      </c>
      <c r="I138" s="535">
        <f t="shared" si="29"/>
        <v>0</v>
      </c>
      <c r="J138" s="535">
        <f t="shared" si="29"/>
        <v>0</v>
      </c>
      <c r="K138" s="535">
        <f t="shared" si="29"/>
        <v>0</v>
      </c>
      <c r="L138" s="535">
        <f t="shared" si="29"/>
        <v>0</v>
      </c>
      <c r="M138" s="565">
        <f t="shared" si="29"/>
        <v>0</v>
      </c>
      <c r="N138" s="518"/>
      <c r="O138" s="534">
        <f>SUM(O129:O137)</f>
        <v>0</v>
      </c>
    </row>
    <row r="139" spans="1:15" s="13" customFormat="1" ht="15" x14ac:dyDescent="0.2">
      <c r="A139" s="126"/>
      <c r="B139" s="54" t="s">
        <v>486</v>
      </c>
      <c r="C139" s="387"/>
      <c r="D139" s="21"/>
      <c r="E139" s="21"/>
      <c r="F139" s="21"/>
      <c r="G139" s="21"/>
      <c r="H139" s="21"/>
      <c r="I139" s="21"/>
      <c r="J139" s="21"/>
      <c r="K139" s="21"/>
      <c r="L139" s="21"/>
      <c r="M139" s="21"/>
      <c r="N139" s="23"/>
      <c r="O139" s="218"/>
    </row>
    <row r="140" spans="1:15" s="13" customFormat="1" ht="12.75" x14ac:dyDescent="0.2">
      <c r="A140" s="127" t="s">
        <v>129</v>
      </c>
      <c r="B140" s="311" t="str">
        <f>Instructions!B46</f>
        <v>Project Data Communications</v>
      </c>
      <c r="C140" s="325"/>
      <c r="D140" s="191">
        <v>0</v>
      </c>
      <c r="E140" s="192">
        <v>0</v>
      </c>
      <c r="F140" s="193">
        <v>0</v>
      </c>
      <c r="G140" s="192">
        <v>0</v>
      </c>
      <c r="H140" s="193">
        <v>0</v>
      </c>
      <c r="I140" s="192">
        <v>0</v>
      </c>
      <c r="J140" s="193">
        <v>0</v>
      </c>
      <c r="K140" s="192">
        <v>0</v>
      </c>
      <c r="L140" s="193">
        <v>0</v>
      </c>
      <c r="M140" s="194">
        <v>0</v>
      </c>
      <c r="N140" s="12"/>
      <c r="O140" s="215">
        <f t="shared" ref="O140:O148" si="30">SUM(D140:M140)</f>
        <v>0</v>
      </c>
    </row>
    <row r="141" spans="1:15" s="13" customFormat="1" ht="12.75" x14ac:dyDescent="0.2">
      <c r="A141" s="128" t="s">
        <v>130</v>
      </c>
      <c r="B141" s="312" t="str">
        <f>Instructions!B47</f>
        <v>Project Voice Communications</v>
      </c>
      <c r="C141" s="324"/>
      <c r="D141" s="195">
        <v>0</v>
      </c>
      <c r="E141" s="196">
        <v>0</v>
      </c>
      <c r="F141" s="197">
        <v>0</v>
      </c>
      <c r="G141" s="196">
        <v>0</v>
      </c>
      <c r="H141" s="197">
        <v>0</v>
      </c>
      <c r="I141" s="196">
        <v>0</v>
      </c>
      <c r="J141" s="197">
        <v>0</v>
      </c>
      <c r="K141" s="196">
        <v>0</v>
      </c>
      <c r="L141" s="197">
        <v>0</v>
      </c>
      <c r="M141" s="198">
        <v>0</v>
      </c>
      <c r="N141" s="12"/>
      <c r="O141" s="216">
        <f t="shared" si="30"/>
        <v>0</v>
      </c>
    </row>
    <row r="142" spans="1:15" s="13" customFormat="1" ht="12.75" x14ac:dyDescent="0.2">
      <c r="A142" s="128" t="s">
        <v>131</v>
      </c>
      <c r="B142" s="312" t="str">
        <f>Instructions!B48</f>
        <v>Project Equipment Rental/Supplies and Materials</v>
      </c>
      <c r="C142" s="324"/>
      <c r="D142" s="195">
        <v>0</v>
      </c>
      <c r="E142" s="196">
        <v>0</v>
      </c>
      <c r="F142" s="197">
        <v>0</v>
      </c>
      <c r="G142" s="196">
        <v>0</v>
      </c>
      <c r="H142" s="197">
        <v>0</v>
      </c>
      <c r="I142" s="196">
        <v>0</v>
      </c>
      <c r="J142" s="197">
        <v>0</v>
      </c>
      <c r="K142" s="196">
        <v>0</v>
      </c>
      <c r="L142" s="197">
        <v>0</v>
      </c>
      <c r="M142" s="198">
        <v>0</v>
      </c>
      <c r="N142" s="12"/>
      <c r="O142" s="216">
        <f t="shared" si="30"/>
        <v>0</v>
      </c>
    </row>
    <row r="143" spans="1:15" s="13" customFormat="1" ht="12.75" x14ac:dyDescent="0.2">
      <c r="A143" s="128" t="s">
        <v>132</v>
      </c>
      <c r="B143" s="312" t="str">
        <f>Instructions!B49</f>
        <v>Project Facilities Rental/Maintenance Expenses</v>
      </c>
      <c r="C143" s="324"/>
      <c r="D143" s="195">
        <v>0</v>
      </c>
      <c r="E143" s="196">
        <v>0</v>
      </c>
      <c r="F143" s="197">
        <v>0</v>
      </c>
      <c r="G143" s="196">
        <v>0</v>
      </c>
      <c r="H143" s="197">
        <v>0</v>
      </c>
      <c r="I143" s="196">
        <v>0</v>
      </c>
      <c r="J143" s="197">
        <v>0</v>
      </c>
      <c r="K143" s="196">
        <v>0</v>
      </c>
      <c r="L143" s="197">
        <v>0</v>
      </c>
      <c r="M143" s="198">
        <v>0</v>
      </c>
      <c r="N143" s="12"/>
      <c r="O143" s="216">
        <f t="shared" si="30"/>
        <v>0</v>
      </c>
    </row>
    <row r="144" spans="1:15" s="13" customFormat="1" ht="12.75" x14ac:dyDescent="0.2">
      <c r="A144" s="128" t="s">
        <v>133</v>
      </c>
      <c r="B144" s="312" t="str">
        <f>Instructions!B50</f>
        <v>Project Disaster Recovery</v>
      </c>
      <c r="C144" s="324"/>
      <c r="D144" s="195">
        <v>0</v>
      </c>
      <c r="E144" s="196">
        <v>0</v>
      </c>
      <c r="F144" s="197">
        <v>0</v>
      </c>
      <c r="G144" s="196">
        <v>0</v>
      </c>
      <c r="H144" s="197">
        <v>0</v>
      </c>
      <c r="I144" s="196">
        <v>0</v>
      </c>
      <c r="J144" s="197">
        <v>0</v>
      </c>
      <c r="K144" s="196">
        <v>0</v>
      </c>
      <c r="L144" s="197">
        <v>0</v>
      </c>
      <c r="M144" s="198">
        <v>0</v>
      </c>
      <c r="N144" s="12"/>
      <c r="O144" s="216">
        <f t="shared" si="30"/>
        <v>0</v>
      </c>
    </row>
    <row r="145" spans="1:15" s="13" customFormat="1" ht="12.75" x14ac:dyDescent="0.2">
      <c r="A145" s="338" t="s">
        <v>134</v>
      </c>
      <c r="B145" s="312" t="str">
        <f>Instructions!B51</f>
        <v>Project Travel</v>
      </c>
      <c r="C145" s="324"/>
      <c r="D145" s="195">
        <v>0</v>
      </c>
      <c r="E145" s="196">
        <v>0</v>
      </c>
      <c r="F145" s="197">
        <v>0</v>
      </c>
      <c r="G145" s="196">
        <v>0</v>
      </c>
      <c r="H145" s="197">
        <v>0</v>
      </c>
      <c r="I145" s="196">
        <v>0</v>
      </c>
      <c r="J145" s="197">
        <v>0</v>
      </c>
      <c r="K145" s="196">
        <v>0</v>
      </c>
      <c r="L145" s="197">
        <v>0</v>
      </c>
      <c r="M145" s="198">
        <v>0</v>
      </c>
      <c r="N145" s="12"/>
      <c r="O145" s="216">
        <f>SUM(D145:M145)</f>
        <v>0</v>
      </c>
    </row>
    <row r="146" spans="1:15" s="13" customFormat="1" ht="12.75" x14ac:dyDescent="0.2">
      <c r="A146" s="338" t="s">
        <v>135</v>
      </c>
      <c r="B146" s="362" t="s">
        <v>648</v>
      </c>
      <c r="C146" s="324"/>
      <c r="D146" s="195">
        <v>0</v>
      </c>
      <c r="E146" s="196">
        <v>0</v>
      </c>
      <c r="F146" s="197">
        <v>0</v>
      </c>
      <c r="G146" s="196">
        <v>0</v>
      </c>
      <c r="H146" s="197">
        <v>0</v>
      </c>
      <c r="I146" s="196">
        <v>0</v>
      </c>
      <c r="J146" s="197">
        <v>0</v>
      </c>
      <c r="K146" s="196">
        <v>0</v>
      </c>
      <c r="L146" s="197">
        <v>0</v>
      </c>
      <c r="M146" s="198">
        <v>0</v>
      </c>
      <c r="N146" s="12"/>
      <c r="O146" s="216">
        <f>SUM(D146:M146)</f>
        <v>0</v>
      </c>
    </row>
    <row r="147" spans="1:15" s="13" customFormat="1" ht="12.75" x14ac:dyDescent="0.2">
      <c r="A147" s="338" t="s">
        <v>136</v>
      </c>
      <c r="B147" s="362" t="s">
        <v>648</v>
      </c>
      <c r="C147" s="324"/>
      <c r="D147" s="195">
        <v>0</v>
      </c>
      <c r="E147" s="196">
        <v>0</v>
      </c>
      <c r="F147" s="197">
        <v>0</v>
      </c>
      <c r="G147" s="196">
        <v>0</v>
      </c>
      <c r="H147" s="197">
        <v>0</v>
      </c>
      <c r="I147" s="196">
        <v>0</v>
      </c>
      <c r="J147" s="197">
        <v>0</v>
      </c>
      <c r="K147" s="196">
        <v>0</v>
      </c>
      <c r="L147" s="197">
        <v>0</v>
      </c>
      <c r="M147" s="198">
        <v>0</v>
      </c>
      <c r="N147" s="12"/>
      <c r="O147" s="216">
        <f>SUM(D147:M147)</f>
        <v>0</v>
      </c>
    </row>
    <row r="148" spans="1:15" s="13" customFormat="1" ht="12.75" x14ac:dyDescent="0.2">
      <c r="A148" s="339" t="s">
        <v>137</v>
      </c>
      <c r="B148" s="362" t="s">
        <v>648</v>
      </c>
      <c r="C148" s="324"/>
      <c r="D148" s="195">
        <v>0</v>
      </c>
      <c r="E148" s="196">
        <v>0</v>
      </c>
      <c r="F148" s="197">
        <v>0</v>
      </c>
      <c r="G148" s="196">
        <v>0</v>
      </c>
      <c r="H148" s="197">
        <v>0</v>
      </c>
      <c r="I148" s="196">
        <v>0</v>
      </c>
      <c r="J148" s="197">
        <v>0</v>
      </c>
      <c r="K148" s="196">
        <v>0</v>
      </c>
      <c r="L148" s="197">
        <v>0</v>
      </c>
      <c r="M148" s="393">
        <v>0</v>
      </c>
      <c r="N148" s="12"/>
      <c r="O148" s="394">
        <f t="shared" si="30"/>
        <v>0</v>
      </c>
    </row>
    <row r="149" spans="1:15" s="13" customFormat="1" ht="13.5" thickBot="1" x14ac:dyDescent="0.25">
      <c r="A149" s="129" t="s">
        <v>138</v>
      </c>
      <c r="B149" s="93" t="str">
        <f>Instructions!B55</f>
        <v>Subtotal Project Other Costs</v>
      </c>
      <c r="C149" s="307"/>
      <c r="D149" s="418">
        <f>SUM(D140:D148)</f>
        <v>0</v>
      </c>
      <c r="E149" s="94">
        <f t="shared" ref="E149:M149" si="31">SUM(E140:E148)</f>
        <v>0</v>
      </c>
      <c r="F149" s="94">
        <f t="shared" si="31"/>
        <v>0</v>
      </c>
      <c r="G149" s="94">
        <f t="shared" si="31"/>
        <v>0</v>
      </c>
      <c r="H149" s="94">
        <f t="shared" si="31"/>
        <v>0</v>
      </c>
      <c r="I149" s="94">
        <f t="shared" si="31"/>
        <v>0</v>
      </c>
      <c r="J149" s="94">
        <f t="shared" si="31"/>
        <v>0</v>
      </c>
      <c r="K149" s="94">
        <f t="shared" si="31"/>
        <v>0</v>
      </c>
      <c r="L149" s="94">
        <f t="shared" si="31"/>
        <v>0</v>
      </c>
      <c r="M149" s="322">
        <f t="shared" si="31"/>
        <v>0</v>
      </c>
      <c r="N149" s="12"/>
      <c r="O149" s="7">
        <f>SUM(O140:O148)</f>
        <v>0</v>
      </c>
    </row>
    <row r="150" spans="1:15" s="13" customFormat="1" ht="15" x14ac:dyDescent="0.2">
      <c r="A150" s="556"/>
      <c r="B150" s="657" t="s">
        <v>488</v>
      </c>
      <c r="C150" s="566"/>
      <c r="D150" s="546"/>
      <c r="E150" s="546"/>
      <c r="F150" s="546"/>
      <c r="G150" s="546"/>
      <c r="H150" s="546"/>
      <c r="I150" s="546"/>
      <c r="J150" s="546"/>
      <c r="K150" s="546"/>
      <c r="L150" s="546"/>
      <c r="M150" s="546"/>
      <c r="N150" s="510"/>
      <c r="O150" s="547"/>
    </row>
    <row r="151" spans="1:15" s="13" customFormat="1" ht="12.75" x14ac:dyDescent="0.2">
      <c r="A151" s="567" t="s">
        <v>490</v>
      </c>
      <c r="B151" s="568" t="str">
        <f>Instructions!B56</f>
        <v>Non-Project/Operational Data Communications</v>
      </c>
      <c r="C151" s="514"/>
      <c r="D151" s="515">
        <v>0</v>
      </c>
      <c r="E151" s="516">
        <v>0</v>
      </c>
      <c r="F151" s="516">
        <v>0</v>
      </c>
      <c r="G151" s="516">
        <v>0</v>
      </c>
      <c r="H151" s="516">
        <v>0</v>
      </c>
      <c r="I151" s="516">
        <v>0</v>
      </c>
      <c r="J151" s="516">
        <v>0</v>
      </c>
      <c r="K151" s="516">
        <v>0</v>
      </c>
      <c r="L151" s="516">
        <v>0</v>
      </c>
      <c r="M151" s="517">
        <v>0</v>
      </c>
      <c r="N151" s="518"/>
      <c r="O151" s="519">
        <f t="shared" ref="O151:O155" si="32">SUM(D151:M151)</f>
        <v>0</v>
      </c>
    </row>
    <row r="152" spans="1:15" s="13" customFormat="1" ht="12.75" x14ac:dyDescent="0.2">
      <c r="A152" s="569" t="s">
        <v>491</v>
      </c>
      <c r="B152" s="570" t="str">
        <f>Instructions!B57</f>
        <v>Non-Project/Operational Voice Communications</v>
      </c>
      <c r="C152" s="522"/>
      <c r="D152" s="523">
        <v>0</v>
      </c>
      <c r="E152" s="524">
        <v>0</v>
      </c>
      <c r="F152" s="524">
        <v>0</v>
      </c>
      <c r="G152" s="524">
        <v>0</v>
      </c>
      <c r="H152" s="524">
        <v>0</v>
      </c>
      <c r="I152" s="524">
        <v>0</v>
      </c>
      <c r="J152" s="524">
        <v>0</v>
      </c>
      <c r="K152" s="524">
        <v>0</v>
      </c>
      <c r="L152" s="524">
        <v>0</v>
      </c>
      <c r="M152" s="525">
        <v>0</v>
      </c>
      <c r="N152" s="518"/>
      <c r="O152" s="526">
        <f t="shared" si="32"/>
        <v>0</v>
      </c>
    </row>
    <row r="153" spans="1:15" s="13" customFormat="1" ht="25.5" x14ac:dyDescent="0.2">
      <c r="A153" s="569" t="s">
        <v>492</v>
      </c>
      <c r="B153" s="570" t="str">
        <f>Instructions!B58</f>
        <v>Non-Project/Operational Equipment Rental/Supplies and Materials</v>
      </c>
      <c r="C153" s="522"/>
      <c r="D153" s="523">
        <v>0</v>
      </c>
      <c r="E153" s="524">
        <v>0</v>
      </c>
      <c r="F153" s="524">
        <v>0</v>
      </c>
      <c r="G153" s="524">
        <v>0</v>
      </c>
      <c r="H153" s="524">
        <v>0</v>
      </c>
      <c r="I153" s="524">
        <v>0</v>
      </c>
      <c r="J153" s="524">
        <v>0</v>
      </c>
      <c r="K153" s="524">
        <v>0</v>
      </c>
      <c r="L153" s="524">
        <v>0</v>
      </c>
      <c r="M153" s="525">
        <v>0</v>
      </c>
      <c r="N153" s="518"/>
      <c r="O153" s="526">
        <f t="shared" si="32"/>
        <v>0</v>
      </c>
    </row>
    <row r="154" spans="1:15" s="13" customFormat="1" ht="25.5" x14ac:dyDescent="0.2">
      <c r="A154" s="569" t="s">
        <v>493</v>
      </c>
      <c r="B154" s="570" t="str">
        <f>Instructions!B59</f>
        <v>Non-Project/Operational Facilities Rental/Maintenance Expenses</v>
      </c>
      <c r="C154" s="522"/>
      <c r="D154" s="523">
        <v>0</v>
      </c>
      <c r="E154" s="524">
        <v>0</v>
      </c>
      <c r="F154" s="524">
        <v>0</v>
      </c>
      <c r="G154" s="524">
        <v>0</v>
      </c>
      <c r="H154" s="524">
        <v>0</v>
      </c>
      <c r="I154" s="524">
        <v>0</v>
      </c>
      <c r="J154" s="524">
        <v>0</v>
      </c>
      <c r="K154" s="524">
        <v>0</v>
      </c>
      <c r="L154" s="524">
        <v>0</v>
      </c>
      <c r="M154" s="525">
        <v>0</v>
      </c>
      <c r="N154" s="518"/>
      <c r="O154" s="526">
        <f t="shared" si="32"/>
        <v>0</v>
      </c>
    </row>
    <row r="155" spans="1:15" s="13" customFormat="1" ht="12.75" x14ac:dyDescent="0.2">
      <c r="A155" s="569" t="s">
        <v>494</v>
      </c>
      <c r="B155" s="570" t="str">
        <f>Instructions!B60</f>
        <v>Non-Project/Operational Disaster Recovery</v>
      </c>
      <c r="C155" s="522"/>
      <c r="D155" s="523">
        <v>0</v>
      </c>
      <c r="E155" s="524">
        <v>0</v>
      </c>
      <c r="F155" s="524">
        <v>0</v>
      </c>
      <c r="G155" s="524">
        <v>0</v>
      </c>
      <c r="H155" s="524">
        <v>0</v>
      </c>
      <c r="I155" s="524">
        <v>0</v>
      </c>
      <c r="J155" s="524">
        <v>0</v>
      </c>
      <c r="K155" s="524">
        <v>0</v>
      </c>
      <c r="L155" s="524">
        <v>0</v>
      </c>
      <c r="M155" s="525">
        <v>0</v>
      </c>
      <c r="N155" s="518"/>
      <c r="O155" s="526">
        <f t="shared" si="32"/>
        <v>0</v>
      </c>
    </row>
    <row r="156" spans="1:15" s="13" customFormat="1" ht="12.75" x14ac:dyDescent="0.2">
      <c r="A156" s="569" t="s">
        <v>495</v>
      </c>
      <c r="B156" s="570" t="str">
        <f>Instructions!B61</f>
        <v>Non-Project/Operational Travel</v>
      </c>
      <c r="C156" s="522"/>
      <c r="D156" s="523">
        <v>0</v>
      </c>
      <c r="E156" s="524">
        <v>0</v>
      </c>
      <c r="F156" s="524">
        <v>0</v>
      </c>
      <c r="G156" s="524">
        <v>0</v>
      </c>
      <c r="H156" s="524">
        <v>0</v>
      </c>
      <c r="I156" s="524">
        <v>0</v>
      </c>
      <c r="J156" s="524">
        <v>0</v>
      </c>
      <c r="K156" s="524">
        <v>0</v>
      </c>
      <c r="L156" s="524">
        <v>0</v>
      </c>
      <c r="M156" s="525">
        <v>0</v>
      </c>
      <c r="N156" s="518"/>
      <c r="O156" s="526">
        <f>SUM(D156:M156)</f>
        <v>0</v>
      </c>
    </row>
    <row r="157" spans="1:15" s="13" customFormat="1" ht="12.75" x14ac:dyDescent="0.2">
      <c r="A157" s="569" t="s">
        <v>496</v>
      </c>
      <c r="B157" s="571" t="s">
        <v>649</v>
      </c>
      <c r="C157" s="522"/>
      <c r="D157" s="523">
        <v>0</v>
      </c>
      <c r="E157" s="524">
        <v>0</v>
      </c>
      <c r="F157" s="524">
        <v>0</v>
      </c>
      <c r="G157" s="524">
        <v>0</v>
      </c>
      <c r="H157" s="524">
        <v>0</v>
      </c>
      <c r="I157" s="524">
        <v>0</v>
      </c>
      <c r="J157" s="524">
        <v>0</v>
      </c>
      <c r="K157" s="524">
        <v>0</v>
      </c>
      <c r="L157" s="524">
        <v>0</v>
      </c>
      <c r="M157" s="525">
        <v>0</v>
      </c>
      <c r="N157" s="518"/>
      <c r="O157" s="526">
        <f>SUM(D157:M157)</f>
        <v>0</v>
      </c>
    </row>
    <row r="158" spans="1:15" s="13" customFormat="1" ht="12.75" x14ac:dyDescent="0.2">
      <c r="A158" s="569" t="s">
        <v>497</v>
      </c>
      <c r="B158" s="571" t="s">
        <v>649</v>
      </c>
      <c r="C158" s="522"/>
      <c r="D158" s="523">
        <v>0</v>
      </c>
      <c r="E158" s="524">
        <v>0</v>
      </c>
      <c r="F158" s="524">
        <v>0</v>
      </c>
      <c r="G158" s="524">
        <v>0</v>
      </c>
      <c r="H158" s="524">
        <v>0</v>
      </c>
      <c r="I158" s="524">
        <v>0</v>
      </c>
      <c r="J158" s="524">
        <v>0</v>
      </c>
      <c r="K158" s="524">
        <v>0</v>
      </c>
      <c r="L158" s="524">
        <v>0</v>
      </c>
      <c r="M158" s="525">
        <v>0</v>
      </c>
      <c r="N158" s="518"/>
      <c r="O158" s="526">
        <f>SUM(D158:M158)</f>
        <v>0</v>
      </c>
    </row>
    <row r="159" spans="1:15" s="13" customFormat="1" ht="12.75" x14ac:dyDescent="0.2">
      <c r="A159" s="572" t="s">
        <v>498</v>
      </c>
      <c r="B159" s="571" t="s">
        <v>649</v>
      </c>
      <c r="C159" s="522"/>
      <c r="D159" s="523">
        <v>0</v>
      </c>
      <c r="E159" s="524">
        <v>0</v>
      </c>
      <c r="F159" s="524">
        <v>0</v>
      </c>
      <c r="G159" s="524">
        <v>0</v>
      </c>
      <c r="H159" s="524">
        <v>0</v>
      </c>
      <c r="I159" s="524">
        <v>0</v>
      </c>
      <c r="J159" s="524">
        <v>0</v>
      </c>
      <c r="K159" s="524">
        <v>0</v>
      </c>
      <c r="L159" s="524">
        <v>0</v>
      </c>
      <c r="M159" s="573">
        <v>0</v>
      </c>
      <c r="N159" s="518"/>
      <c r="O159" s="574">
        <f t="shared" ref="O159" si="33">SUM(D159:M159)</f>
        <v>0</v>
      </c>
    </row>
    <row r="160" spans="1:15" s="13" customFormat="1" ht="13.5" thickBot="1" x14ac:dyDescent="0.25">
      <c r="A160" s="575" t="s">
        <v>499</v>
      </c>
      <c r="B160" s="576" t="str">
        <f>Instructions!B65</f>
        <v>Subtotal Non-Project/Operational Other Costs</v>
      </c>
      <c r="C160" s="529"/>
      <c r="D160" s="577">
        <f>SUM(D151:D159)</f>
        <v>0</v>
      </c>
      <c r="E160" s="531">
        <f t="shared" ref="E160:M160" si="34">SUM(E151:E159)</f>
        <v>0</v>
      </c>
      <c r="F160" s="531">
        <f t="shared" si="34"/>
        <v>0</v>
      </c>
      <c r="G160" s="531">
        <f t="shared" si="34"/>
        <v>0</v>
      </c>
      <c r="H160" s="531">
        <f t="shared" si="34"/>
        <v>0</v>
      </c>
      <c r="I160" s="531">
        <f t="shared" si="34"/>
        <v>0</v>
      </c>
      <c r="J160" s="531">
        <f t="shared" si="34"/>
        <v>0</v>
      </c>
      <c r="K160" s="531">
        <f t="shared" si="34"/>
        <v>0</v>
      </c>
      <c r="L160" s="531">
        <f t="shared" si="34"/>
        <v>0</v>
      </c>
      <c r="M160" s="578">
        <f t="shared" si="34"/>
        <v>0</v>
      </c>
      <c r="N160" s="518"/>
      <c r="O160" s="534">
        <f>SUM(O151:O159)</f>
        <v>0</v>
      </c>
    </row>
    <row r="161" spans="1:15" s="12" customFormat="1" ht="17.25" customHeight="1" x14ac:dyDescent="0.2">
      <c r="A161" s="130" t="s">
        <v>237</v>
      </c>
      <c r="B161" s="92" t="str">
        <f>Instructions!B66</f>
        <v>Total Project Hardware/Software/Other Costs</v>
      </c>
      <c r="C161" s="309"/>
      <c r="D161" s="497">
        <f>SUM(D149,D127,D116,D94,D83)</f>
        <v>12000</v>
      </c>
      <c r="E161" s="498">
        <f t="shared" ref="E161:M161" si="35">SUM(E149,E127,E116,E94,E83)</f>
        <v>0</v>
      </c>
      <c r="F161" s="498">
        <f t="shared" si="35"/>
        <v>8500</v>
      </c>
      <c r="G161" s="498">
        <f t="shared" si="35"/>
        <v>8500</v>
      </c>
      <c r="H161" s="498">
        <f t="shared" si="35"/>
        <v>10000</v>
      </c>
      <c r="I161" s="498">
        <f t="shared" si="35"/>
        <v>10000</v>
      </c>
      <c r="J161" s="498">
        <f t="shared" si="35"/>
        <v>10000</v>
      </c>
      <c r="K161" s="498">
        <f t="shared" si="35"/>
        <v>10000</v>
      </c>
      <c r="L161" s="498">
        <f t="shared" si="35"/>
        <v>10000</v>
      </c>
      <c r="M161" s="499">
        <f t="shared" si="35"/>
        <v>10000</v>
      </c>
      <c r="O161" s="95">
        <f>SUM(O149,O127,O116,O94,O83)</f>
        <v>89000</v>
      </c>
    </row>
    <row r="162" spans="1:15" s="12" customFormat="1" ht="28.5" customHeight="1" x14ac:dyDescent="0.2">
      <c r="A162" s="579" t="s">
        <v>501</v>
      </c>
      <c r="B162" s="580" t="str">
        <f>Instructions!B67</f>
        <v>Total Non-Project/Operational Hardware/Software/Other Costs</v>
      </c>
      <c r="C162" s="581"/>
      <c r="D162" s="582">
        <f>SUM(D160,D138,D105)</f>
        <v>0</v>
      </c>
      <c r="E162" s="583">
        <f>SUM(E160,E138,E105)</f>
        <v>0</v>
      </c>
      <c r="F162" s="583">
        <f t="shared" ref="F162:L162" si="36">SUM(F160,F138,F105)</f>
        <v>0</v>
      </c>
      <c r="G162" s="583">
        <f t="shared" si="36"/>
        <v>0</v>
      </c>
      <c r="H162" s="583">
        <f t="shared" si="36"/>
        <v>0</v>
      </c>
      <c r="I162" s="583">
        <f t="shared" si="36"/>
        <v>0</v>
      </c>
      <c r="J162" s="583">
        <f t="shared" si="36"/>
        <v>0</v>
      </c>
      <c r="K162" s="583">
        <f t="shared" si="36"/>
        <v>0</v>
      </c>
      <c r="L162" s="583">
        <f t="shared" si="36"/>
        <v>0</v>
      </c>
      <c r="M162" s="584">
        <f>SUM(M160,M138,M105)</f>
        <v>0</v>
      </c>
      <c r="N162" s="518"/>
      <c r="O162" s="585">
        <f>SUM(O160,O138,O105)</f>
        <v>0</v>
      </c>
    </row>
    <row r="163" spans="1:15" s="12" customFormat="1" ht="17.25" customHeight="1" x14ac:dyDescent="0.2">
      <c r="A163" s="131" t="s">
        <v>238</v>
      </c>
      <c r="B163" s="57" t="str">
        <f>Instructions!B68</f>
        <v>Subtotal Project Costs</v>
      </c>
      <c r="C163" s="310"/>
      <c r="D163" s="388">
        <f>SUM(D161,D69)</f>
        <v>1080184.0944000001</v>
      </c>
      <c r="E163" s="55">
        <f>SUM(E161,E69)</f>
        <v>765051.51359999995</v>
      </c>
      <c r="F163" s="55">
        <f t="shared" ref="F163:L163" si="37">SUM(F161,F69)</f>
        <v>549934.36</v>
      </c>
      <c r="G163" s="55">
        <f t="shared" si="37"/>
        <v>549934.36</v>
      </c>
      <c r="H163" s="55">
        <f t="shared" si="37"/>
        <v>102634.36</v>
      </c>
      <c r="I163" s="55">
        <f t="shared" si="37"/>
        <v>102634.36</v>
      </c>
      <c r="J163" s="55">
        <f t="shared" si="37"/>
        <v>102634.36</v>
      </c>
      <c r="K163" s="55">
        <f t="shared" si="37"/>
        <v>102634.36</v>
      </c>
      <c r="L163" s="55">
        <f t="shared" si="37"/>
        <v>102634.36</v>
      </c>
      <c r="M163" s="56">
        <f>SUM(M161,M69)</f>
        <v>102634.36</v>
      </c>
      <c r="O163" s="6">
        <f>SUM(O161,O69)</f>
        <v>3560910.4879999999</v>
      </c>
    </row>
    <row r="164" spans="1:15" s="12" customFormat="1" ht="17.25" customHeight="1" x14ac:dyDescent="0.2">
      <c r="A164" s="586" t="s">
        <v>503</v>
      </c>
      <c r="B164" s="587" t="str">
        <f>Instructions!B69</f>
        <v>Subtotal Non-Project/Operational Costs</v>
      </c>
      <c r="C164" s="588"/>
      <c r="D164" s="589">
        <f>SUM(D162,D70)</f>
        <v>0</v>
      </c>
      <c r="E164" s="590">
        <f>SUM(E162,E70)</f>
        <v>0</v>
      </c>
      <c r="F164" s="590">
        <f t="shared" ref="F164:L164" si="38">SUM(F162,F70)</f>
        <v>0</v>
      </c>
      <c r="G164" s="590">
        <f t="shared" si="38"/>
        <v>0</v>
      </c>
      <c r="H164" s="590">
        <f t="shared" si="38"/>
        <v>0</v>
      </c>
      <c r="I164" s="590">
        <f t="shared" si="38"/>
        <v>0</v>
      </c>
      <c r="J164" s="590">
        <f t="shared" si="38"/>
        <v>0</v>
      </c>
      <c r="K164" s="590">
        <f t="shared" si="38"/>
        <v>0</v>
      </c>
      <c r="L164" s="590">
        <f t="shared" si="38"/>
        <v>0</v>
      </c>
      <c r="M164" s="591">
        <f>SUM(M162,M70)</f>
        <v>0</v>
      </c>
      <c r="N164" s="518"/>
      <c r="O164" s="592">
        <f>SUM(O162,O70)</f>
        <v>0</v>
      </c>
    </row>
    <row r="165" spans="1:15" s="12" customFormat="1" ht="20.25" customHeight="1" x14ac:dyDescent="0.2">
      <c r="A165" s="406"/>
      <c r="B165" s="412" t="s">
        <v>566</v>
      </c>
      <c r="C165" s="640"/>
      <c r="D165" s="413">
        <v>0.05</v>
      </c>
      <c r="E165" s="414">
        <v>0.05</v>
      </c>
      <c r="F165" s="415">
        <v>0</v>
      </c>
      <c r="G165" s="414">
        <v>0</v>
      </c>
      <c r="H165" s="415">
        <v>0</v>
      </c>
      <c r="I165" s="414">
        <v>0</v>
      </c>
      <c r="J165" s="415">
        <v>0</v>
      </c>
      <c r="K165" s="414">
        <v>0</v>
      </c>
      <c r="L165" s="415">
        <v>0</v>
      </c>
      <c r="M165" s="416">
        <v>0</v>
      </c>
      <c r="N165" s="22"/>
      <c r="O165" s="632"/>
    </row>
    <row r="166" spans="1:15" s="12" customFormat="1" ht="30.75" customHeight="1" thickBot="1" x14ac:dyDescent="0.25">
      <c r="A166" s="129" t="s">
        <v>432</v>
      </c>
      <c r="B166" s="437" t="str">
        <f>Instructions!B71</f>
        <v>Project Contingency (% of Subtotal Project Costs)</v>
      </c>
      <c r="C166" s="438"/>
      <c r="D166" s="439">
        <f t="shared" ref="D166:M166" si="39">D163*D165</f>
        <v>54009.204720000009</v>
      </c>
      <c r="E166" s="440">
        <f t="shared" si="39"/>
        <v>38252.575680000002</v>
      </c>
      <c r="F166" s="440">
        <f t="shared" si="39"/>
        <v>0</v>
      </c>
      <c r="G166" s="440">
        <f t="shared" si="39"/>
        <v>0</v>
      </c>
      <c r="H166" s="440">
        <f t="shared" si="39"/>
        <v>0</v>
      </c>
      <c r="I166" s="440">
        <f t="shared" si="39"/>
        <v>0</v>
      </c>
      <c r="J166" s="440">
        <f t="shared" si="39"/>
        <v>0</v>
      </c>
      <c r="K166" s="440">
        <f t="shared" si="39"/>
        <v>0</v>
      </c>
      <c r="L166" s="440">
        <f t="shared" si="39"/>
        <v>0</v>
      </c>
      <c r="M166" s="441">
        <f t="shared" si="39"/>
        <v>0</v>
      </c>
      <c r="N166" s="442"/>
      <c r="O166" s="417">
        <f>SUM(D166:M166)</f>
        <v>92261.780400000018</v>
      </c>
    </row>
    <row r="167" spans="1:15" s="12" customFormat="1" ht="22.5" customHeight="1" x14ac:dyDescent="0.2">
      <c r="A167" s="593"/>
      <c r="B167" s="594" t="s">
        <v>567</v>
      </c>
      <c r="C167" s="595"/>
      <c r="D167" s="596">
        <v>0</v>
      </c>
      <c r="E167" s="597">
        <v>0</v>
      </c>
      <c r="F167" s="597">
        <v>0</v>
      </c>
      <c r="G167" s="597">
        <v>0</v>
      </c>
      <c r="H167" s="597">
        <v>0</v>
      </c>
      <c r="I167" s="597">
        <v>0</v>
      </c>
      <c r="J167" s="597">
        <v>0</v>
      </c>
      <c r="K167" s="597">
        <v>0</v>
      </c>
      <c r="L167" s="597">
        <v>0</v>
      </c>
      <c r="M167" s="598">
        <v>0</v>
      </c>
      <c r="N167" s="510"/>
      <c r="O167" s="633"/>
    </row>
    <row r="168" spans="1:15" s="420" customFormat="1" ht="31.5" customHeight="1" thickBot="1" x14ac:dyDescent="0.25">
      <c r="A168" s="599" t="s">
        <v>505</v>
      </c>
      <c r="B168" s="576" t="str">
        <f>Instructions!B73</f>
        <v>Non-Project Contingency (% of Subtotal Non-Project/Operational Costs)</v>
      </c>
      <c r="C168" s="600"/>
      <c r="D168" s="530">
        <f>D164*D167</f>
        <v>0</v>
      </c>
      <c r="E168" s="535">
        <f>E164*E167</f>
        <v>0</v>
      </c>
      <c r="F168" s="535">
        <f t="shared" ref="F168:L168" si="40">F164*F167</f>
        <v>0</v>
      </c>
      <c r="G168" s="535">
        <f t="shared" si="40"/>
        <v>0</v>
      </c>
      <c r="H168" s="535">
        <f t="shared" si="40"/>
        <v>0</v>
      </c>
      <c r="I168" s="535">
        <f t="shared" si="40"/>
        <v>0</v>
      </c>
      <c r="J168" s="535">
        <f t="shared" si="40"/>
        <v>0</v>
      </c>
      <c r="K168" s="535">
        <f t="shared" si="40"/>
        <v>0</v>
      </c>
      <c r="L168" s="535">
        <f t="shared" si="40"/>
        <v>0</v>
      </c>
      <c r="M168" s="532">
        <f>M164*M167</f>
        <v>0</v>
      </c>
      <c r="N168" s="510"/>
      <c r="O168" s="601">
        <f>SUM(D168:M168)</f>
        <v>0</v>
      </c>
    </row>
    <row r="169" spans="1:15" s="428" customFormat="1" ht="17.25" customHeight="1" thickBot="1" x14ac:dyDescent="0.25">
      <c r="A169" s="421" t="s">
        <v>433</v>
      </c>
      <c r="B169" s="436" t="str">
        <f>Instructions!B74</f>
        <v>Total Project Costs</v>
      </c>
      <c r="C169" s="422"/>
      <c r="D169" s="423">
        <f>SUM(D166,D163)</f>
        <v>1134193.2991200001</v>
      </c>
      <c r="E169" s="424">
        <f>SUM(E166,E163)</f>
        <v>803304.08927999996</v>
      </c>
      <c r="F169" s="424">
        <f t="shared" ref="F169:L169" si="41">SUM(F166,F163)</f>
        <v>549934.36</v>
      </c>
      <c r="G169" s="424">
        <f t="shared" si="41"/>
        <v>549934.36</v>
      </c>
      <c r="H169" s="424">
        <f t="shared" si="41"/>
        <v>102634.36</v>
      </c>
      <c r="I169" s="424">
        <f t="shared" si="41"/>
        <v>102634.36</v>
      </c>
      <c r="J169" s="424">
        <f t="shared" si="41"/>
        <v>102634.36</v>
      </c>
      <c r="K169" s="424">
        <f t="shared" si="41"/>
        <v>102634.36</v>
      </c>
      <c r="L169" s="424">
        <f t="shared" si="41"/>
        <v>102634.36</v>
      </c>
      <c r="M169" s="425">
        <f>SUM(M166,M163)</f>
        <v>102634.36</v>
      </c>
      <c r="N169" s="426"/>
      <c r="O169" s="427">
        <f>SUM(O163,O166)</f>
        <v>3653172.2683999999</v>
      </c>
    </row>
    <row r="170" spans="1:15" s="428" customFormat="1" ht="17.25" customHeight="1" thickBot="1" x14ac:dyDescent="0.25">
      <c r="A170" s="602" t="s">
        <v>506</v>
      </c>
      <c r="B170" s="603" t="str">
        <f>Instructions!B75</f>
        <v>Total Non-Project/Operational Costs</v>
      </c>
      <c r="C170" s="600"/>
      <c r="D170" s="530">
        <f>SUM(D168,D164)</f>
        <v>0</v>
      </c>
      <c r="E170" s="535">
        <f>SUM(E168,E164)</f>
        <v>0</v>
      </c>
      <c r="F170" s="535">
        <f t="shared" ref="F170:L170" si="42">SUM(F168,F164)</f>
        <v>0</v>
      </c>
      <c r="G170" s="535">
        <f t="shared" si="42"/>
        <v>0</v>
      </c>
      <c r="H170" s="535">
        <f t="shared" si="42"/>
        <v>0</v>
      </c>
      <c r="I170" s="535">
        <f t="shared" si="42"/>
        <v>0</v>
      </c>
      <c r="J170" s="535">
        <f t="shared" si="42"/>
        <v>0</v>
      </c>
      <c r="K170" s="535">
        <f t="shared" si="42"/>
        <v>0</v>
      </c>
      <c r="L170" s="535">
        <f t="shared" si="42"/>
        <v>0</v>
      </c>
      <c r="M170" s="532">
        <f>SUM(M168,M164)</f>
        <v>0</v>
      </c>
      <c r="N170" s="604"/>
      <c r="O170" s="605">
        <f>SUM(O164,O168)</f>
        <v>0</v>
      </c>
    </row>
    <row r="171" spans="1:15" s="428" customFormat="1" ht="17.25" customHeight="1" thickBot="1" x14ac:dyDescent="0.25">
      <c r="A171" s="429" t="s">
        <v>434</v>
      </c>
      <c r="B171" s="382" t="str">
        <f>Instructions!B76</f>
        <v>Total Business Case Cost</v>
      </c>
      <c r="C171" s="430"/>
      <c r="D171" s="431">
        <f>SUM(D169,D170)</f>
        <v>1134193.2991200001</v>
      </c>
      <c r="E171" s="432">
        <f>SUM(E169,E170)</f>
        <v>803304.08927999996</v>
      </c>
      <c r="F171" s="432">
        <f t="shared" ref="F171:L171" si="43">SUM(F169,F170)</f>
        <v>549934.36</v>
      </c>
      <c r="G171" s="432">
        <f t="shared" si="43"/>
        <v>549934.36</v>
      </c>
      <c r="H171" s="432">
        <f t="shared" si="43"/>
        <v>102634.36</v>
      </c>
      <c r="I171" s="432">
        <f t="shared" si="43"/>
        <v>102634.36</v>
      </c>
      <c r="J171" s="432">
        <f t="shared" si="43"/>
        <v>102634.36</v>
      </c>
      <c r="K171" s="432">
        <f t="shared" si="43"/>
        <v>102634.36</v>
      </c>
      <c r="L171" s="432">
        <f t="shared" si="43"/>
        <v>102634.36</v>
      </c>
      <c r="M171" s="433">
        <f>SUM(M169,M170)</f>
        <v>102634.36</v>
      </c>
      <c r="N171" s="434"/>
      <c r="O171" s="435">
        <f>SUM(O169,O170)</f>
        <v>3653172.2683999999</v>
      </c>
    </row>
    <row r="172" spans="1:15" ht="20.25" x14ac:dyDescent="0.2">
      <c r="A172" s="132"/>
      <c r="B172" s="5"/>
      <c r="C172" s="5"/>
      <c r="D172" s="14"/>
      <c r="E172" s="14"/>
      <c r="F172" s="14"/>
      <c r="G172" s="14"/>
      <c r="H172" s="1"/>
      <c r="I172" s="1"/>
      <c r="J172" s="2"/>
      <c r="K172" s="2"/>
      <c r="L172" s="2"/>
      <c r="M172" s="2"/>
    </row>
    <row r="173" spans="1:15" x14ac:dyDescent="0.2">
      <c r="O173" s="8"/>
    </row>
    <row r="174" spans="1:15" x14ac:dyDescent="0.2">
      <c r="O174" s="8"/>
    </row>
    <row r="175" spans="1:15" x14ac:dyDescent="0.2">
      <c r="O175" s="8"/>
    </row>
    <row r="176" spans="1:15" x14ac:dyDescent="0.2">
      <c r="O176" s="8"/>
    </row>
    <row r="177" spans="15:15" s="13" customFormat="1" ht="12.75" x14ac:dyDescent="0.2"/>
    <row r="178" spans="15:15" s="13" customFormat="1" ht="12.75" x14ac:dyDescent="0.2"/>
    <row r="179" spans="15:15" s="13" customFormat="1" ht="12.75" x14ac:dyDescent="0.2"/>
    <row r="180" spans="15:15" s="13" customFormat="1" ht="12.75" x14ac:dyDescent="0.2"/>
    <row r="181" spans="15:15" s="13" customFormat="1" ht="12.75" x14ac:dyDescent="0.2"/>
    <row r="182" spans="15:15" s="13" customFormat="1" ht="12.75" x14ac:dyDescent="0.2"/>
    <row r="183" spans="15:15" s="13" customFormat="1" ht="12.75" x14ac:dyDescent="0.2"/>
    <row r="184" spans="15:15" s="13" customFormat="1" ht="12.75" x14ac:dyDescent="0.2"/>
    <row r="185" spans="15:15" s="13" customFormat="1" ht="12.75" x14ac:dyDescent="0.2"/>
    <row r="186" spans="15:15" s="13" customFormat="1" ht="12.75" x14ac:dyDescent="0.2"/>
    <row r="187" spans="15:15" s="13" customFormat="1" ht="12.75" x14ac:dyDescent="0.2"/>
    <row r="188" spans="15:15" s="13" customFormat="1" ht="12.75" x14ac:dyDescent="0.2"/>
    <row r="189" spans="15:15" s="13" customFormat="1" ht="12.75" x14ac:dyDescent="0.2"/>
    <row r="190" spans="15:15" s="13" customFormat="1" ht="12.75" x14ac:dyDescent="0.2"/>
    <row r="191" spans="15:15" x14ac:dyDescent="0.2">
      <c r="O191" s="8"/>
    </row>
    <row r="192" spans="15:15" x14ac:dyDescent="0.2">
      <c r="O192" s="8"/>
    </row>
    <row r="193" spans="1:15" x14ac:dyDescent="0.2">
      <c r="O193" s="8"/>
    </row>
    <row r="194" spans="1:15" x14ac:dyDescent="0.2">
      <c r="O194" s="8"/>
    </row>
    <row r="195" spans="1:15" x14ac:dyDescent="0.2">
      <c r="O195" s="8"/>
    </row>
    <row r="196" spans="1:15" x14ac:dyDescent="0.2">
      <c r="O196" s="8"/>
    </row>
    <row r="197" spans="1:15" x14ac:dyDescent="0.2">
      <c r="O197" s="8"/>
    </row>
    <row r="198" spans="1:15" x14ac:dyDescent="0.2">
      <c r="O198" s="8"/>
    </row>
    <row r="199" spans="1:15" x14ac:dyDescent="0.2">
      <c r="O199" s="8"/>
    </row>
    <row r="200" spans="1:15" x14ac:dyDescent="0.2">
      <c r="O200" s="8"/>
    </row>
    <row r="201" spans="1:15" s="16" customFormat="1" x14ac:dyDescent="0.2"/>
    <row r="202" spans="1:15" s="16" customFormat="1" x14ac:dyDescent="0.2"/>
    <row r="203" spans="1:15" x14ac:dyDescent="0.2">
      <c r="O203" s="8"/>
    </row>
    <row r="204" spans="1:15" s="12" customFormat="1" ht="12.75" x14ac:dyDescent="0.2"/>
    <row r="205" spans="1:15" ht="15" x14ac:dyDescent="0.25">
      <c r="D205" s="17"/>
      <c r="E205" s="17"/>
      <c r="F205" s="17"/>
      <c r="G205" s="17"/>
      <c r="H205" s="17"/>
      <c r="I205" s="17"/>
      <c r="J205" s="17"/>
      <c r="K205" s="17"/>
      <c r="L205" s="17"/>
      <c r="M205" s="17"/>
    </row>
    <row r="206" spans="1:15" x14ac:dyDescent="0.2">
      <c r="A206" s="9"/>
      <c r="B206" s="9"/>
      <c r="C206" s="9"/>
      <c r="D206" s="18"/>
    </row>
    <row r="207" spans="1:15" x14ac:dyDescent="0.2">
      <c r="A207" s="9"/>
      <c r="B207" s="9"/>
      <c r="C207" s="9"/>
    </row>
    <row r="208" spans="1:15" x14ac:dyDescent="0.2">
      <c r="A208" s="9"/>
      <c r="B208" s="9"/>
      <c r="C208" s="9"/>
    </row>
    <row r="209" spans="1:3" x14ac:dyDescent="0.2">
      <c r="A209" s="9"/>
      <c r="B209" s="9"/>
      <c r="C209" s="9"/>
    </row>
    <row r="210" spans="1:3" x14ac:dyDescent="0.2">
      <c r="A210" s="9"/>
      <c r="B210" s="9"/>
      <c r="C210" s="9"/>
    </row>
    <row r="211" spans="1:3" x14ac:dyDescent="0.2">
      <c r="A211" s="9"/>
      <c r="B211" s="9"/>
      <c r="C211" s="9"/>
    </row>
    <row r="212" spans="1:3" x14ac:dyDescent="0.2">
      <c r="A212" s="9"/>
      <c r="B212" s="9"/>
      <c r="C212" s="9"/>
    </row>
    <row r="248" spans="1:3" x14ac:dyDescent="0.2">
      <c r="A248" s="9"/>
      <c r="B248" s="9"/>
      <c r="C248" s="9"/>
    </row>
    <row r="249" spans="1:3" x14ac:dyDescent="0.2">
      <c r="A249" s="9"/>
      <c r="B249" s="9"/>
      <c r="C249" s="9"/>
    </row>
    <row r="250" spans="1:3" x14ac:dyDescent="0.2">
      <c r="A250" s="9"/>
      <c r="B250" s="9"/>
      <c r="C250" s="9"/>
    </row>
    <row r="251" spans="1:3" x14ac:dyDescent="0.2">
      <c r="A251" s="9"/>
      <c r="B251" s="9"/>
      <c r="C251" s="9"/>
    </row>
    <row r="252" spans="1:3" x14ac:dyDescent="0.2">
      <c r="A252" s="9"/>
      <c r="B252" s="9"/>
      <c r="C252" s="9"/>
    </row>
    <row r="253" spans="1:3" x14ac:dyDescent="0.2">
      <c r="A253" s="9"/>
      <c r="B253" s="9"/>
      <c r="C253" s="9"/>
    </row>
    <row r="254" spans="1:3" x14ac:dyDescent="0.2">
      <c r="A254" s="9"/>
      <c r="B254" s="9"/>
      <c r="C254" s="9"/>
    </row>
    <row r="255" spans="1:3" x14ac:dyDescent="0.2">
      <c r="A255" s="9"/>
      <c r="B255" s="9"/>
      <c r="C255" s="9"/>
    </row>
    <row r="256" spans="1:3" x14ac:dyDescent="0.2">
      <c r="A256" s="9"/>
      <c r="B256" s="9"/>
      <c r="C256" s="9"/>
    </row>
    <row r="257" spans="1:3" x14ac:dyDescent="0.2">
      <c r="A257" s="9"/>
      <c r="B257" s="9"/>
      <c r="C257" s="9"/>
    </row>
    <row r="258" spans="1:3" x14ac:dyDescent="0.2">
      <c r="A258" s="9"/>
      <c r="B258" s="9"/>
      <c r="C258" s="9"/>
    </row>
    <row r="259" spans="1:3" x14ac:dyDescent="0.2">
      <c r="A259" s="9"/>
      <c r="B259" s="9"/>
      <c r="C259" s="9"/>
    </row>
    <row r="260" spans="1:3" x14ac:dyDescent="0.2">
      <c r="A260" s="9"/>
      <c r="B260" s="9"/>
      <c r="C260" s="9"/>
    </row>
    <row r="261" spans="1:3" x14ac:dyDescent="0.2">
      <c r="A261" s="9"/>
      <c r="B261" s="9"/>
      <c r="C261" s="9"/>
    </row>
    <row r="262" spans="1:3" x14ac:dyDescent="0.2">
      <c r="A262" s="9"/>
      <c r="B262" s="9"/>
      <c r="C262" s="9"/>
    </row>
    <row r="263" spans="1:3" x14ac:dyDescent="0.2">
      <c r="A263" s="9"/>
      <c r="B263" s="9"/>
      <c r="C263" s="9"/>
    </row>
    <row r="264" spans="1:3" x14ac:dyDescent="0.2">
      <c r="A264" s="9"/>
      <c r="B264" s="9"/>
      <c r="C264" s="9"/>
    </row>
    <row r="265" spans="1:3" x14ac:dyDescent="0.2">
      <c r="A265" s="9"/>
      <c r="B265" s="9"/>
      <c r="C265" s="9"/>
    </row>
    <row r="266" spans="1:3" x14ac:dyDescent="0.2">
      <c r="A266" s="9"/>
      <c r="B266" s="9"/>
      <c r="C266" s="9"/>
    </row>
    <row r="267" spans="1:3" x14ac:dyDescent="0.2">
      <c r="A267" s="9"/>
      <c r="B267" s="9"/>
      <c r="C267" s="9"/>
    </row>
    <row r="268" spans="1:3" x14ac:dyDescent="0.2">
      <c r="A268" s="9"/>
      <c r="B268" s="9"/>
      <c r="C268" s="9"/>
    </row>
    <row r="269" spans="1:3" x14ac:dyDescent="0.2">
      <c r="A269" s="9"/>
      <c r="B269" s="9"/>
      <c r="C269" s="9"/>
    </row>
    <row r="270" spans="1:3" x14ac:dyDescent="0.2">
      <c r="A270" s="9"/>
      <c r="B270" s="9"/>
      <c r="C270" s="9"/>
    </row>
    <row r="271" spans="1:3" x14ac:dyDescent="0.2">
      <c r="A271" s="9"/>
      <c r="B271" s="9"/>
      <c r="C271" s="9"/>
    </row>
    <row r="272" spans="1:3" x14ac:dyDescent="0.2">
      <c r="A272" s="9"/>
      <c r="B272" s="9"/>
      <c r="C272" s="9"/>
    </row>
    <row r="273" spans="1:3" x14ac:dyDescent="0.2">
      <c r="A273" s="9"/>
      <c r="B273" s="9"/>
      <c r="C273" s="9"/>
    </row>
    <row r="274" spans="1:3" x14ac:dyDescent="0.2">
      <c r="A274" s="9"/>
      <c r="B274" s="9"/>
      <c r="C274" s="9"/>
    </row>
    <row r="275" spans="1:3" x14ac:dyDescent="0.2">
      <c r="A275" s="9"/>
      <c r="B275" s="9"/>
      <c r="C275" s="9"/>
    </row>
    <row r="276" spans="1:3" x14ac:dyDescent="0.2">
      <c r="A276" s="9"/>
      <c r="B276" s="9"/>
      <c r="C276" s="9"/>
    </row>
    <row r="277" spans="1:3" x14ac:dyDescent="0.2">
      <c r="A277" s="9"/>
      <c r="B277" s="9"/>
      <c r="C277" s="9"/>
    </row>
    <row r="278" spans="1:3" x14ac:dyDescent="0.2">
      <c r="A278" s="9"/>
      <c r="B278" s="9"/>
      <c r="C278" s="9"/>
    </row>
    <row r="279" spans="1:3" x14ac:dyDescent="0.2">
      <c r="A279" s="9"/>
      <c r="B279" s="9"/>
      <c r="C279" s="9"/>
    </row>
    <row r="280" spans="1:3" x14ac:dyDescent="0.2">
      <c r="A280" s="9"/>
      <c r="B280" s="9"/>
      <c r="C280" s="9"/>
    </row>
    <row r="281" spans="1:3" x14ac:dyDescent="0.2">
      <c r="A281" s="9"/>
      <c r="B281" s="9"/>
      <c r="C281" s="9"/>
    </row>
    <row r="282" spans="1:3" x14ac:dyDescent="0.2">
      <c r="A282" s="9"/>
      <c r="B282" s="9"/>
      <c r="C282" s="9"/>
    </row>
    <row r="283" spans="1:3" x14ac:dyDescent="0.2">
      <c r="A283" s="9"/>
      <c r="B283" s="9"/>
      <c r="C283" s="9"/>
    </row>
    <row r="284" spans="1:3" x14ac:dyDescent="0.2">
      <c r="A284" s="9"/>
      <c r="B284" s="9"/>
      <c r="C284" s="9"/>
    </row>
    <row r="285" spans="1:3" x14ac:dyDescent="0.2">
      <c r="A285" s="9"/>
      <c r="B285" s="9"/>
      <c r="C285" s="9"/>
    </row>
    <row r="286" spans="1:3" x14ac:dyDescent="0.2">
      <c r="A286" s="9"/>
      <c r="B286" s="9"/>
      <c r="C286" s="9"/>
    </row>
    <row r="287" spans="1:3" x14ac:dyDescent="0.2">
      <c r="A287" s="9"/>
      <c r="B287" s="9"/>
      <c r="C287" s="9"/>
    </row>
    <row r="288" spans="1:3" x14ac:dyDescent="0.2">
      <c r="A288" s="9"/>
      <c r="B288" s="9"/>
      <c r="C288" s="9"/>
    </row>
    <row r="289" spans="1:3" x14ac:dyDescent="0.2">
      <c r="A289" s="9"/>
      <c r="B289" s="9"/>
      <c r="C289" s="9"/>
    </row>
    <row r="290" spans="1:3" x14ac:dyDescent="0.2">
      <c r="A290" s="9"/>
      <c r="B290" s="9"/>
      <c r="C290" s="9"/>
    </row>
    <row r="291" spans="1:3" x14ac:dyDescent="0.2">
      <c r="A291" s="9"/>
      <c r="B291" s="9"/>
      <c r="C291" s="9"/>
    </row>
    <row r="292" spans="1:3" x14ac:dyDescent="0.2">
      <c r="A292" s="9"/>
      <c r="B292" s="9"/>
      <c r="C292" s="9"/>
    </row>
    <row r="293" spans="1:3" x14ac:dyDescent="0.2">
      <c r="A293" s="9"/>
      <c r="B293" s="9"/>
      <c r="C293" s="9"/>
    </row>
    <row r="294" spans="1:3" x14ac:dyDescent="0.2">
      <c r="A294" s="9"/>
      <c r="B294" s="9"/>
      <c r="C294" s="9"/>
    </row>
    <row r="295" spans="1:3" x14ac:dyDescent="0.2">
      <c r="A295" s="9"/>
      <c r="B295" s="9"/>
      <c r="C295" s="9"/>
    </row>
    <row r="296" spans="1:3" x14ac:dyDescent="0.2">
      <c r="A296" s="9"/>
      <c r="B296" s="9"/>
      <c r="C296" s="9"/>
    </row>
    <row r="297" spans="1:3" x14ac:dyDescent="0.2">
      <c r="A297" s="9"/>
      <c r="B297" s="9"/>
      <c r="C297" s="9"/>
    </row>
    <row r="298" spans="1:3" x14ac:dyDescent="0.2">
      <c r="A298" s="9"/>
      <c r="B298" s="9"/>
      <c r="C298" s="9"/>
    </row>
    <row r="299" spans="1:3" x14ac:dyDescent="0.2">
      <c r="A299" s="9"/>
      <c r="B299" s="9"/>
      <c r="C299" s="9"/>
    </row>
    <row r="300" spans="1:3" x14ac:dyDescent="0.2">
      <c r="A300" s="9"/>
      <c r="B300" s="9"/>
      <c r="C300" s="9"/>
    </row>
    <row r="301" spans="1:3" x14ac:dyDescent="0.2">
      <c r="A301" s="9"/>
      <c r="B301" s="9"/>
      <c r="C301" s="9"/>
    </row>
    <row r="302" spans="1:3" x14ac:dyDescent="0.2">
      <c r="A302" s="9"/>
      <c r="B302" s="9"/>
      <c r="C302" s="9"/>
    </row>
    <row r="303" spans="1:3" x14ac:dyDescent="0.2">
      <c r="A303" s="9"/>
      <c r="B303" s="9"/>
      <c r="C303" s="9"/>
    </row>
    <row r="304" spans="1:3" x14ac:dyDescent="0.2">
      <c r="A304" s="9"/>
      <c r="B304" s="9"/>
      <c r="C304" s="9"/>
    </row>
    <row r="305" spans="1:3" x14ac:dyDescent="0.2">
      <c r="A305" s="9"/>
      <c r="B305" s="9"/>
      <c r="C305" s="9"/>
    </row>
    <row r="306" spans="1:3" x14ac:dyDescent="0.2">
      <c r="A306" s="9"/>
      <c r="B306" s="9"/>
      <c r="C306" s="9"/>
    </row>
    <row r="307" spans="1:3" x14ac:dyDescent="0.2">
      <c r="A307" s="9"/>
      <c r="B307" s="9"/>
      <c r="C307" s="9"/>
    </row>
    <row r="308" spans="1:3" x14ac:dyDescent="0.2">
      <c r="A308" s="9"/>
      <c r="B308" s="9"/>
      <c r="C308" s="9"/>
    </row>
    <row r="309" spans="1:3" x14ac:dyDescent="0.2">
      <c r="A309" s="9"/>
      <c r="B309" s="9"/>
      <c r="C309" s="9"/>
    </row>
    <row r="310" spans="1:3" x14ac:dyDescent="0.2">
      <c r="A310" s="9"/>
      <c r="B310" s="9"/>
      <c r="C310" s="9"/>
    </row>
    <row r="311" spans="1:3" x14ac:dyDescent="0.2">
      <c r="A311" s="9"/>
      <c r="B311" s="9"/>
      <c r="C311" s="9"/>
    </row>
    <row r="312" spans="1:3" x14ac:dyDescent="0.2">
      <c r="A312" s="9"/>
      <c r="B312" s="9"/>
      <c r="C312" s="9"/>
    </row>
    <row r="313" spans="1:3" x14ac:dyDescent="0.2">
      <c r="A313" s="9"/>
      <c r="B313" s="9"/>
      <c r="C313" s="9"/>
    </row>
    <row r="314" spans="1:3" x14ac:dyDescent="0.2">
      <c r="A314" s="9"/>
      <c r="B314" s="9"/>
      <c r="C314" s="9"/>
    </row>
    <row r="315" spans="1:3" x14ac:dyDescent="0.2">
      <c r="A315" s="9"/>
      <c r="B315" s="9"/>
      <c r="C315" s="9"/>
    </row>
    <row r="316" spans="1:3" x14ac:dyDescent="0.2">
      <c r="A316" s="9"/>
      <c r="B316" s="9"/>
      <c r="C316" s="9"/>
    </row>
    <row r="317" spans="1:3" x14ac:dyDescent="0.2">
      <c r="A317" s="9"/>
      <c r="B317" s="9"/>
      <c r="C317" s="9"/>
    </row>
    <row r="318" spans="1:3" x14ac:dyDescent="0.2">
      <c r="A318" s="9"/>
      <c r="B318" s="9"/>
      <c r="C318" s="9"/>
    </row>
    <row r="319" spans="1:3" x14ac:dyDescent="0.2">
      <c r="A319" s="9"/>
      <c r="B319" s="9"/>
      <c r="C319" s="9"/>
    </row>
    <row r="320" spans="1:3" x14ac:dyDescent="0.2">
      <c r="A320" s="9"/>
      <c r="B320" s="9"/>
      <c r="C320" s="9"/>
    </row>
    <row r="321" spans="1:3" x14ac:dyDescent="0.2">
      <c r="A321" s="9"/>
      <c r="B321" s="9"/>
      <c r="C321" s="9"/>
    </row>
    <row r="322" spans="1:3" x14ac:dyDescent="0.2">
      <c r="A322" s="9"/>
      <c r="B322" s="9"/>
      <c r="C322" s="9"/>
    </row>
    <row r="323" spans="1:3" x14ac:dyDescent="0.2">
      <c r="A323" s="9"/>
      <c r="B323" s="9"/>
      <c r="C323" s="9"/>
    </row>
    <row r="324" spans="1:3" x14ac:dyDescent="0.2">
      <c r="A324" s="9"/>
      <c r="B324" s="9"/>
      <c r="C324" s="9"/>
    </row>
    <row r="325" spans="1:3" x14ac:dyDescent="0.2">
      <c r="A325" s="9"/>
      <c r="B325" s="9"/>
      <c r="C325" s="9"/>
    </row>
    <row r="326" spans="1:3" x14ac:dyDescent="0.2">
      <c r="A326" s="9"/>
      <c r="B326" s="9"/>
      <c r="C326" s="9"/>
    </row>
    <row r="327" spans="1:3" x14ac:dyDescent="0.2">
      <c r="A327" s="9"/>
      <c r="B327" s="9"/>
      <c r="C327" s="9"/>
    </row>
    <row r="328" spans="1:3" x14ac:dyDescent="0.2">
      <c r="A328" s="9"/>
      <c r="B328" s="9"/>
      <c r="C328" s="9"/>
    </row>
    <row r="329" spans="1:3" x14ac:dyDescent="0.2">
      <c r="A329" s="9"/>
      <c r="B329" s="9"/>
      <c r="C329" s="9"/>
    </row>
    <row r="330" spans="1:3" x14ac:dyDescent="0.2">
      <c r="A330" s="9"/>
      <c r="B330" s="9"/>
      <c r="C330" s="9"/>
    </row>
    <row r="331" spans="1:3" x14ac:dyDescent="0.2">
      <c r="A331" s="9"/>
      <c r="B331" s="9"/>
      <c r="C331" s="9"/>
    </row>
    <row r="332" spans="1:3" x14ac:dyDescent="0.2">
      <c r="A332" s="9"/>
      <c r="B332" s="9"/>
      <c r="C332" s="9"/>
    </row>
    <row r="333" spans="1:3" x14ac:dyDescent="0.2">
      <c r="A333" s="9"/>
      <c r="B333" s="9"/>
      <c r="C333" s="9"/>
    </row>
    <row r="334" spans="1:3" x14ac:dyDescent="0.2">
      <c r="A334" s="9"/>
      <c r="B334" s="9"/>
      <c r="C334" s="9"/>
    </row>
    <row r="335" spans="1:3" x14ac:dyDescent="0.2">
      <c r="A335" s="9"/>
      <c r="B335" s="9"/>
      <c r="C335" s="9"/>
    </row>
    <row r="336" spans="1:3" x14ac:dyDescent="0.2">
      <c r="A336" s="9"/>
      <c r="B336" s="9"/>
      <c r="C336" s="9"/>
    </row>
    <row r="337" spans="1:3" x14ac:dyDescent="0.2">
      <c r="A337" s="9"/>
      <c r="B337" s="9"/>
      <c r="C337" s="9"/>
    </row>
    <row r="338" spans="1:3" x14ac:dyDescent="0.2">
      <c r="A338" s="9"/>
      <c r="B338" s="9"/>
      <c r="C338" s="9"/>
    </row>
    <row r="339" spans="1:3" x14ac:dyDescent="0.2">
      <c r="A339" s="9"/>
      <c r="B339" s="9"/>
      <c r="C339" s="9"/>
    </row>
    <row r="340" spans="1:3" x14ac:dyDescent="0.2">
      <c r="A340" s="9"/>
      <c r="B340" s="9"/>
      <c r="C340" s="9"/>
    </row>
    <row r="341" spans="1:3" x14ac:dyDescent="0.2">
      <c r="A341" s="9"/>
      <c r="B341" s="9"/>
      <c r="C341" s="9"/>
    </row>
    <row r="342" spans="1:3" x14ac:dyDescent="0.2">
      <c r="A342" s="9"/>
      <c r="B342" s="9"/>
      <c r="C342" s="9"/>
    </row>
    <row r="343" spans="1:3" x14ac:dyDescent="0.2">
      <c r="A343" s="9"/>
      <c r="B343" s="9"/>
      <c r="C343" s="9"/>
    </row>
    <row r="344" spans="1:3" x14ac:dyDescent="0.2">
      <c r="A344" s="9"/>
      <c r="B344" s="9"/>
      <c r="C344" s="9"/>
    </row>
    <row r="345" spans="1:3" x14ac:dyDescent="0.2">
      <c r="A345" s="9"/>
      <c r="B345" s="9"/>
      <c r="C345" s="9"/>
    </row>
    <row r="346" spans="1:3" x14ac:dyDescent="0.2">
      <c r="A346" s="9"/>
      <c r="B346" s="9"/>
      <c r="C346" s="9"/>
    </row>
    <row r="347" spans="1:3" x14ac:dyDescent="0.2">
      <c r="A347" s="9"/>
      <c r="B347" s="9"/>
      <c r="C347" s="9"/>
    </row>
    <row r="348" spans="1:3" x14ac:dyDescent="0.2">
      <c r="A348" s="9"/>
      <c r="B348" s="9"/>
      <c r="C348" s="9"/>
    </row>
    <row r="349" spans="1:3" x14ac:dyDescent="0.2">
      <c r="A349" s="9"/>
      <c r="B349" s="9"/>
      <c r="C349" s="9"/>
    </row>
    <row r="350" spans="1:3" x14ac:dyDescent="0.2">
      <c r="A350" s="9"/>
      <c r="B350" s="9"/>
      <c r="C350" s="9"/>
    </row>
    <row r="351" spans="1:3" x14ac:dyDescent="0.2">
      <c r="A351" s="9"/>
      <c r="B351" s="9"/>
      <c r="C351" s="9"/>
    </row>
    <row r="352" spans="1:3" x14ac:dyDescent="0.2">
      <c r="A352" s="9"/>
      <c r="B352" s="9"/>
      <c r="C352" s="9"/>
    </row>
    <row r="353" spans="1:3" x14ac:dyDescent="0.2">
      <c r="A353" s="9"/>
      <c r="B353" s="9"/>
      <c r="C353" s="9"/>
    </row>
    <row r="354" spans="1:3" x14ac:dyDescent="0.2">
      <c r="A354" s="9"/>
      <c r="B354" s="9"/>
      <c r="C354" s="9"/>
    </row>
    <row r="355" spans="1:3" x14ac:dyDescent="0.2">
      <c r="A355" s="9"/>
      <c r="B355" s="9"/>
      <c r="C355" s="9"/>
    </row>
    <row r="356" spans="1:3" x14ac:dyDescent="0.2">
      <c r="A356" s="9"/>
      <c r="B356" s="9"/>
      <c r="C356" s="9"/>
    </row>
    <row r="357" spans="1:3" x14ac:dyDescent="0.2">
      <c r="A357" s="9"/>
      <c r="B357" s="9"/>
      <c r="C357" s="9"/>
    </row>
    <row r="358" spans="1:3" x14ac:dyDescent="0.2">
      <c r="A358" s="9"/>
      <c r="B358" s="9"/>
      <c r="C358" s="9"/>
    </row>
    <row r="359" spans="1:3" x14ac:dyDescent="0.2">
      <c r="A359" s="9"/>
      <c r="B359" s="9"/>
      <c r="C359" s="9"/>
    </row>
    <row r="360" spans="1:3" x14ac:dyDescent="0.2">
      <c r="A360" s="9"/>
      <c r="B360" s="9"/>
      <c r="C360" s="9"/>
    </row>
    <row r="361" spans="1:3" x14ac:dyDescent="0.2">
      <c r="A361" s="9"/>
      <c r="B361" s="9"/>
      <c r="C361" s="9"/>
    </row>
    <row r="362" spans="1:3" x14ac:dyDescent="0.2">
      <c r="A362" s="9"/>
      <c r="B362" s="9"/>
      <c r="C362" s="9"/>
    </row>
    <row r="363" spans="1:3" x14ac:dyDescent="0.2">
      <c r="A363" s="9"/>
      <c r="B363" s="9"/>
      <c r="C363" s="9"/>
    </row>
    <row r="364" spans="1:3" x14ac:dyDescent="0.2">
      <c r="A364" s="9"/>
      <c r="B364" s="9"/>
      <c r="C364" s="9"/>
    </row>
    <row r="365" spans="1:3" x14ac:dyDescent="0.2">
      <c r="A365" s="9"/>
      <c r="B365" s="9"/>
      <c r="C365" s="9"/>
    </row>
    <row r="366" spans="1:3" x14ac:dyDescent="0.2">
      <c r="A366" s="9"/>
      <c r="B366" s="9"/>
      <c r="C366" s="9"/>
    </row>
    <row r="367" spans="1:3" x14ac:dyDescent="0.2">
      <c r="A367" s="9"/>
      <c r="B367" s="9"/>
      <c r="C367" s="9"/>
    </row>
    <row r="368" spans="1:3" x14ac:dyDescent="0.2">
      <c r="A368" s="9"/>
      <c r="B368" s="9"/>
      <c r="C368" s="9"/>
    </row>
    <row r="369" spans="1:3" x14ac:dyDescent="0.2">
      <c r="A369" s="9"/>
      <c r="B369" s="9"/>
      <c r="C369" s="9"/>
    </row>
    <row r="370" spans="1:3" x14ac:dyDescent="0.2">
      <c r="A370" s="9"/>
      <c r="B370" s="9"/>
      <c r="C370" s="9"/>
    </row>
    <row r="371" spans="1:3" x14ac:dyDescent="0.2">
      <c r="A371" s="9"/>
      <c r="B371" s="9"/>
      <c r="C371" s="9"/>
    </row>
    <row r="372" spans="1:3" x14ac:dyDescent="0.2">
      <c r="A372" s="9"/>
      <c r="B372" s="9"/>
      <c r="C372" s="9"/>
    </row>
    <row r="373" spans="1:3" x14ac:dyDescent="0.2">
      <c r="A373" s="9"/>
      <c r="B373" s="9"/>
      <c r="C373" s="9"/>
    </row>
    <row r="374" spans="1:3" x14ac:dyDescent="0.2">
      <c r="A374" s="9"/>
      <c r="B374" s="9"/>
      <c r="C374" s="9"/>
    </row>
    <row r="375" spans="1:3" x14ac:dyDescent="0.2">
      <c r="A375" s="9"/>
      <c r="B375" s="9"/>
      <c r="C375" s="9"/>
    </row>
    <row r="376" spans="1:3" x14ac:dyDescent="0.2">
      <c r="A376" s="9"/>
      <c r="B376" s="9"/>
      <c r="C376" s="9"/>
    </row>
    <row r="377" spans="1:3" x14ac:dyDescent="0.2">
      <c r="A377" s="9"/>
      <c r="B377" s="9"/>
      <c r="C377" s="9"/>
    </row>
    <row r="378" spans="1:3" x14ac:dyDescent="0.2">
      <c r="A378" s="9"/>
      <c r="B378" s="9"/>
      <c r="C378" s="9"/>
    </row>
    <row r="379" spans="1:3" x14ac:dyDescent="0.2">
      <c r="A379" s="9"/>
      <c r="B379" s="9"/>
      <c r="C379" s="9"/>
    </row>
    <row r="380" spans="1:3" x14ac:dyDescent="0.2">
      <c r="A380" s="9"/>
      <c r="B380" s="9"/>
      <c r="C380" s="9"/>
    </row>
    <row r="381" spans="1:3" x14ac:dyDescent="0.2">
      <c r="A381" s="9"/>
      <c r="B381" s="9"/>
      <c r="C381" s="9"/>
    </row>
    <row r="382" spans="1:3" x14ac:dyDescent="0.2">
      <c r="A382" s="9"/>
      <c r="B382" s="9"/>
      <c r="C382" s="9"/>
    </row>
    <row r="383" spans="1:3" x14ac:dyDescent="0.2">
      <c r="A383" s="9"/>
      <c r="B383" s="9"/>
      <c r="C383" s="9"/>
    </row>
    <row r="384" spans="1:3" x14ac:dyDescent="0.2">
      <c r="A384" s="9"/>
      <c r="B384" s="9"/>
      <c r="C384" s="9"/>
    </row>
    <row r="385" spans="1:3" x14ac:dyDescent="0.2">
      <c r="A385" s="9"/>
      <c r="B385" s="9"/>
      <c r="C385" s="9"/>
    </row>
    <row r="386" spans="1:3" x14ac:dyDescent="0.2">
      <c r="A386" s="9"/>
      <c r="B386" s="9"/>
      <c r="C386" s="9"/>
    </row>
    <row r="387" spans="1:3" x14ac:dyDescent="0.2">
      <c r="A387" s="9"/>
      <c r="B387" s="9"/>
      <c r="C387" s="9"/>
    </row>
    <row r="388" spans="1:3" x14ac:dyDescent="0.2">
      <c r="A388" s="9"/>
      <c r="B388" s="9"/>
      <c r="C388" s="9"/>
    </row>
    <row r="389" spans="1:3" x14ac:dyDescent="0.2">
      <c r="A389" s="9"/>
      <c r="B389" s="9"/>
      <c r="C389" s="9"/>
    </row>
    <row r="390" spans="1:3" x14ac:dyDescent="0.2">
      <c r="A390" s="9"/>
      <c r="B390" s="9"/>
      <c r="C390" s="9"/>
    </row>
    <row r="391" spans="1:3" x14ac:dyDescent="0.2">
      <c r="A391" s="9"/>
      <c r="B391" s="9"/>
      <c r="C391" s="9"/>
    </row>
    <row r="392" spans="1:3" x14ac:dyDescent="0.2">
      <c r="A392" s="9"/>
      <c r="B392" s="9"/>
      <c r="C392" s="9"/>
    </row>
    <row r="393" spans="1:3" x14ac:dyDescent="0.2">
      <c r="A393" s="9"/>
      <c r="B393" s="9"/>
      <c r="C393" s="9"/>
    </row>
    <row r="394" spans="1:3" x14ac:dyDescent="0.2">
      <c r="A394" s="9"/>
      <c r="B394" s="9"/>
      <c r="C394" s="9"/>
    </row>
    <row r="395" spans="1:3" x14ac:dyDescent="0.2">
      <c r="A395" s="9"/>
      <c r="B395" s="9"/>
      <c r="C395" s="9"/>
    </row>
    <row r="396" spans="1:3" x14ac:dyDescent="0.2">
      <c r="A396" s="9"/>
      <c r="B396" s="9"/>
      <c r="C396" s="9"/>
    </row>
    <row r="397" spans="1:3" x14ac:dyDescent="0.2">
      <c r="A397" s="9"/>
      <c r="B397" s="9"/>
      <c r="C397" s="9"/>
    </row>
    <row r="398" spans="1:3" x14ac:dyDescent="0.2">
      <c r="A398" s="9"/>
      <c r="B398" s="9"/>
      <c r="C398" s="9"/>
    </row>
    <row r="399" spans="1:3" x14ac:dyDescent="0.2">
      <c r="A399" s="9"/>
      <c r="B399" s="9"/>
      <c r="C399" s="9"/>
    </row>
    <row r="400" spans="1:3" x14ac:dyDescent="0.2">
      <c r="A400" s="9"/>
      <c r="B400" s="9"/>
      <c r="C400" s="9"/>
    </row>
    <row r="401" spans="1:3" x14ac:dyDescent="0.2">
      <c r="A401" s="9"/>
      <c r="B401" s="9"/>
      <c r="C401" s="9"/>
    </row>
    <row r="402" spans="1:3" x14ac:dyDescent="0.2">
      <c r="A402" s="9"/>
      <c r="B402" s="9"/>
      <c r="C402" s="9"/>
    </row>
    <row r="403" spans="1:3" x14ac:dyDescent="0.2">
      <c r="A403" s="9"/>
      <c r="B403" s="9"/>
      <c r="C403" s="9"/>
    </row>
    <row r="404" spans="1:3" x14ac:dyDescent="0.2">
      <c r="A404" s="9"/>
      <c r="B404" s="9"/>
      <c r="C404" s="9"/>
    </row>
    <row r="405" spans="1:3" x14ac:dyDescent="0.2">
      <c r="A405" s="9"/>
      <c r="B405" s="9"/>
      <c r="C405" s="9"/>
    </row>
    <row r="406" spans="1:3" x14ac:dyDescent="0.2">
      <c r="A406" s="9"/>
      <c r="B406" s="9"/>
      <c r="C406" s="9"/>
    </row>
    <row r="407" spans="1:3" x14ac:dyDescent="0.2">
      <c r="A407" s="9"/>
      <c r="B407" s="9"/>
      <c r="C407" s="9"/>
    </row>
    <row r="408" spans="1:3" x14ac:dyDescent="0.2">
      <c r="A408" s="9"/>
      <c r="B408" s="9"/>
      <c r="C408" s="9"/>
    </row>
    <row r="409" spans="1:3" x14ac:dyDescent="0.2">
      <c r="A409" s="9"/>
      <c r="B409" s="9"/>
      <c r="C409" s="9"/>
    </row>
    <row r="410" spans="1:3" x14ac:dyDescent="0.2">
      <c r="A410" s="9"/>
      <c r="B410" s="9"/>
      <c r="C410" s="9"/>
    </row>
    <row r="411" spans="1:3" x14ac:dyDescent="0.2">
      <c r="A411" s="9"/>
      <c r="B411" s="9"/>
      <c r="C411" s="9"/>
    </row>
    <row r="412" spans="1:3" x14ac:dyDescent="0.2">
      <c r="A412" s="9"/>
      <c r="B412" s="9"/>
      <c r="C412" s="9"/>
    </row>
    <row r="413" spans="1:3" x14ac:dyDescent="0.2">
      <c r="A413" s="9"/>
      <c r="B413" s="9"/>
      <c r="C413" s="9"/>
    </row>
    <row r="414" spans="1:3" x14ac:dyDescent="0.2">
      <c r="A414" s="9"/>
      <c r="B414" s="9"/>
      <c r="C414" s="9"/>
    </row>
    <row r="415" spans="1:3" x14ac:dyDescent="0.2">
      <c r="A415" s="9"/>
      <c r="B415" s="9"/>
      <c r="C415" s="9"/>
    </row>
    <row r="416" spans="1:3" x14ac:dyDescent="0.2">
      <c r="A416" s="9"/>
      <c r="B416" s="9"/>
      <c r="C416" s="9"/>
    </row>
    <row r="417" spans="1:3" x14ac:dyDescent="0.2">
      <c r="A417" s="9"/>
      <c r="B417" s="9"/>
      <c r="C417" s="9"/>
    </row>
    <row r="418" spans="1:3" x14ac:dyDescent="0.2">
      <c r="A418" s="9"/>
      <c r="B418" s="9"/>
      <c r="C418" s="9"/>
    </row>
    <row r="419" spans="1:3" x14ac:dyDescent="0.2">
      <c r="A419" s="9"/>
      <c r="B419" s="9"/>
      <c r="C419" s="9"/>
    </row>
    <row r="420" spans="1:3" x14ac:dyDescent="0.2">
      <c r="A420" s="9"/>
      <c r="B420" s="9"/>
      <c r="C420" s="9"/>
    </row>
    <row r="421" spans="1:3" x14ac:dyDescent="0.2">
      <c r="A421" s="9"/>
      <c r="B421" s="9"/>
      <c r="C421" s="9"/>
    </row>
    <row r="422" spans="1:3" x14ac:dyDescent="0.2">
      <c r="A422" s="9"/>
      <c r="B422" s="9"/>
      <c r="C422" s="9"/>
    </row>
    <row r="423" spans="1:3" x14ac:dyDescent="0.2">
      <c r="A423" s="9"/>
      <c r="B423" s="9"/>
      <c r="C423" s="9"/>
    </row>
    <row r="424" spans="1:3" x14ac:dyDescent="0.2">
      <c r="A424" s="9"/>
      <c r="B424" s="9"/>
      <c r="C424" s="9"/>
    </row>
    <row r="425" spans="1:3" x14ac:dyDescent="0.2">
      <c r="A425" s="9"/>
      <c r="B425" s="9"/>
      <c r="C425" s="9"/>
    </row>
    <row r="426" spans="1:3" x14ac:dyDescent="0.2">
      <c r="A426" s="9"/>
      <c r="B426" s="9"/>
      <c r="C426" s="9"/>
    </row>
    <row r="427" spans="1:3" x14ac:dyDescent="0.2">
      <c r="A427" s="9"/>
      <c r="B427" s="9"/>
      <c r="C427" s="9"/>
    </row>
    <row r="428" spans="1:3" x14ac:dyDescent="0.2">
      <c r="A428" s="9"/>
      <c r="B428" s="9"/>
      <c r="C428" s="9"/>
    </row>
    <row r="429" spans="1:3" x14ac:dyDescent="0.2">
      <c r="A429" s="9"/>
      <c r="B429" s="9"/>
      <c r="C429" s="9"/>
    </row>
    <row r="430" spans="1:3" x14ac:dyDescent="0.2">
      <c r="A430" s="9"/>
      <c r="B430" s="9"/>
      <c r="C430" s="9"/>
    </row>
    <row r="431" spans="1:3" x14ac:dyDescent="0.2">
      <c r="A431" s="9"/>
      <c r="B431" s="9"/>
      <c r="C431" s="9"/>
    </row>
    <row r="432" spans="1:3" x14ac:dyDescent="0.2">
      <c r="A432" s="9"/>
      <c r="B432" s="9"/>
      <c r="C432" s="9"/>
    </row>
    <row r="433" spans="1:3" x14ac:dyDescent="0.2">
      <c r="A433" s="9"/>
      <c r="B433" s="9"/>
      <c r="C433" s="9"/>
    </row>
    <row r="434" spans="1:3" x14ac:dyDescent="0.2">
      <c r="A434" s="9"/>
      <c r="B434" s="9"/>
      <c r="C434" s="9"/>
    </row>
    <row r="435" spans="1:3" x14ac:dyDescent="0.2">
      <c r="A435" s="9"/>
      <c r="B435" s="9"/>
      <c r="C435" s="9"/>
    </row>
    <row r="436" spans="1:3" x14ac:dyDescent="0.2">
      <c r="A436" s="9"/>
      <c r="B436" s="9"/>
      <c r="C436" s="9"/>
    </row>
    <row r="437" spans="1:3" x14ac:dyDescent="0.2">
      <c r="A437" s="9"/>
      <c r="B437" s="9"/>
      <c r="C437" s="9"/>
    </row>
    <row r="438" spans="1:3" x14ac:dyDescent="0.2">
      <c r="A438" s="9"/>
      <c r="B438" s="9"/>
      <c r="C438" s="9"/>
    </row>
    <row r="439" spans="1:3" x14ac:dyDescent="0.2">
      <c r="A439" s="9"/>
      <c r="B439" s="9"/>
      <c r="C439" s="9"/>
    </row>
    <row r="440" spans="1:3" x14ac:dyDescent="0.2">
      <c r="A440" s="9"/>
      <c r="B440" s="9"/>
      <c r="C440" s="9"/>
    </row>
    <row r="441" spans="1:3" x14ac:dyDescent="0.2">
      <c r="A441" s="9"/>
      <c r="B441" s="9"/>
      <c r="C441" s="9"/>
    </row>
    <row r="442" spans="1:3" x14ac:dyDescent="0.2">
      <c r="A442" s="9"/>
      <c r="B442" s="9"/>
      <c r="C442" s="9"/>
    </row>
    <row r="443" spans="1:3" x14ac:dyDescent="0.2">
      <c r="A443" s="9"/>
      <c r="B443" s="9"/>
      <c r="C443" s="9"/>
    </row>
    <row r="444" spans="1:3" x14ac:dyDescent="0.2">
      <c r="A444" s="9"/>
      <c r="B444" s="9"/>
      <c r="C444" s="9"/>
    </row>
    <row r="445" spans="1:3" x14ac:dyDescent="0.2">
      <c r="A445" s="9"/>
      <c r="B445" s="9"/>
      <c r="C445" s="9"/>
    </row>
    <row r="446" spans="1:3" x14ac:dyDescent="0.2">
      <c r="A446" s="9"/>
      <c r="B446" s="9"/>
      <c r="C446" s="9"/>
    </row>
    <row r="447" spans="1:3" x14ac:dyDescent="0.2">
      <c r="A447" s="9"/>
      <c r="B447" s="9"/>
      <c r="C447" s="9"/>
    </row>
    <row r="448" spans="1:3" x14ac:dyDescent="0.2">
      <c r="A448" s="9"/>
      <c r="B448" s="9"/>
      <c r="C448" s="9"/>
    </row>
    <row r="449" spans="1:3" x14ac:dyDescent="0.2">
      <c r="A449" s="9"/>
      <c r="B449" s="9"/>
      <c r="C449" s="9"/>
    </row>
    <row r="450" spans="1:3" x14ac:dyDescent="0.2">
      <c r="A450" s="9"/>
      <c r="B450" s="9"/>
      <c r="C450" s="9"/>
    </row>
    <row r="451" spans="1:3" x14ac:dyDescent="0.2">
      <c r="A451" s="9"/>
      <c r="B451" s="9"/>
      <c r="C451" s="9"/>
    </row>
    <row r="452" spans="1:3" x14ac:dyDescent="0.2">
      <c r="A452" s="9"/>
      <c r="B452" s="9"/>
      <c r="C452" s="9"/>
    </row>
    <row r="453" spans="1:3" x14ac:dyDescent="0.2">
      <c r="A453" s="9"/>
      <c r="B453" s="9"/>
      <c r="C453" s="9"/>
    </row>
    <row r="454" spans="1:3" x14ac:dyDescent="0.2">
      <c r="A454" s="9"/>
      <c r="B454" s="9"/>
      <c r="C454" s="9"/>
    </row>
    <row r="455" spans="1:3" x14ac:dyDescent="0.2">
      <c r="A455" s="9"/>
      <c r="B455" s="9"/>
      <c r="C455" s="9"/>
    </row>
    <row r="456" spans="1:3" x14ac:dyDescent="0.2">
      <c r="A456" s="9"/>
      <c r="B456" s="9"/>
      <c r="C456" s="9"/>
    </row>
    <row r="457" spans="1:3" x14ac:dyDescent="0.2">
      <c r="A457" s="9"/>
      <c r="B457" s="9"/>
      <c r="C457" s="9"/>
    </row>
    <row r="458" spans="1:3" x14ac:dyDescent="0.2">
      <c r="A458" s="9"/>
      <c r="B458" s="9"/>
      <c r="C458" s="9"/>
    </row>
    <row r="459" spans="1:3" x14ac:dyDescent="0.2">
      <c r="A459" s="9"/>
      <c r="B459" s="9"/>
      <c r="C459" s="9"/>
    </row>
    <row r="460" spans="1:3" x14ac:dyDescent="0.2">
      <c r="A460" s="9"/>
      <c r="B460" s="9"/>
      <c r="C460" s="9"/>
    </row>
    <row r="461" spans="1:3" x14ac:dyDescent="0.2">
      <c r="A461" s="9"/>
      <c r="B461" s="9"/>
      <c r="C461" s="9"/>
    </row>
    <row r="462" spans="1:3" x14ac:dyDescent="0.2">
      <c r="A462" s="9"/>
      <c r="B462" s="9"/>
      <c r="C462" s="9"/>
    </row>
    <row r="463" spans="1:3" x14ac:dyDescent="0.2">
      <c r="A463" s="9"/>
      <c r="B463" s="9"/>
      <c r="C463" s="9"/>
    </row>
    <row r="464" spans="1:3" x14ac:dyDescent="0.2">
      <c r="A464" s="9"/>
      <c r="B464" s="9"/>
      <c r="C464" s="9"/>
    </row>
    <row r="465" spans="1:3" x14ac:dyDescent="0.2">
      <c r="A465" s="9"/>
      <c r="B465" s="9"/>
      <c r="C465" s="9"/>
    </row>
    <row r="466" spans="1:3" x14ac:dyDescent="0.2">
      <c r="A466" s="9"/>
      <c r="B466" s="9"/>
      <c r="C466" s="9"/>
    </row>
    <row r="467" spans="1:3" x14ac:dyDescent="0.2">
      <c r="A467" s="9"/>
      <c r="B467" s="9"/>
      <c r="C467" s="9"/>
    </row>
    <row r="468" spans="1:3" x14ac:dyDescent="0.2">
      <c r="A468" s="9"/>
      <c r="B468" s="9"/>
      <c r="C468" s="9"/>
    </row>
    <row r="469" spans="1:3" x14ac:dyDescent="0.2">
      <c r="A469" s="9"/>
      <c r="B469" s="9"/>
      <c r="C469" s="9"/>
    </row>
    <row r="470" spans="1:3" x14ac:dyDescent="0.2">
      <c r="A470" s="9"/>
      <c r="B470" s="9"/>
      <c r="C470" s="9"/>
    </row>
    <row r="471" spans="1:3" x14ac:dyDescent="0.2">
      <c r="A471" s="9"/>
      <c r="B471" s="9"/>
      <c r="C471" s="9"/>
    </row>
    <row r="472" spans="1:3" x14ac:dyDescent="0.2">
      <c r="A472" s="9"/>
      <c r="B472" s="9"/>
      <c r="C472" s="9"/>
    </row>
    <row r="473" spans="1:3" x14ac:dyDescent="0.2">
      <c r="A473" s="9"/>
      <c r="B473" s="9"/>
      <c r="C473" s="9"/>
    </row>
    <row r="474" spans="1:3" x14ac:dyDescent="0.2">
      <c r="A474" s="9"/>
      <c r="B474" s="9"/>
      <c r="C474" s="9"/>
    </row>
    <row r="475" spans="1:3" x14ac:dyDescent="0.2">
      <c r="A475" s="9"/>
      <c r="B475" s="9"/>
      <c r="C475" s="9"/>
    </row>
    <row r="476" spans="1:3" x14ac:dyDescent="0.2">
      <c r="A476" s="9"/>
      <c r="B476" s="9"/>
      <c r="C476" s="9"/>
    </row>
    <row r="477" spans="1:3" x14ac:dyDescent="0.2">
      <c r="A477" s="9"/>
      <c r="B477" s="9"/>
      <c r="C477" s="9"/>
    </row>
    <row r="478" spans="1:3" x14ac:dyDescent="0.2">
      <c r="A478" s="9"/>
      <c r="B478" s="9"/>
      <c r="C478" s="9"/>
    </row>
    <row r="479" spans="1:3" x14ac:dyDescent="0.2">
      <c r="A479" s="9"/>
      <c r="B479" s="9"/>
      <c r="C479" s="9"/>
    </row>
    <row r="480" spans="1:3" x14ac:dyDescent="0.2">
      <c r="A480" s="9"/>
      <c r="B480" s="9"/>
      <c r="C480" s="9"/>
    </row>
    <row r="481" spans="1:3" x14ac:dyDescent="0.2">
      <c r="A481" s="9"/>
      <c r="B481" s="9"/>
      <c r="C481" s="9"/>
    </row>
    <row r="482" spans="1:3" x14ac:dyDescent="0.2">
      <c r="A482" s="9"/>
      <c r="B482" s="9"/>
      <c r="C482" s="9"/>
    </row>
    <row r="483" spans="1:3" x14ac:dyDescent="0.2">
      <c r="A483" s="9"/>
      <c r="B483" s="9"/>
      <c r="C483" s="9"/>
    </row>
    <row r="484" spans="1:3" x14ac:dyDescent="0.2">
      <c r="A484" s="9"/>
      <c r="B484" s="9"/>
      <c r="C484" s="9"/>
    </row>
    <row r="485" spans="1:3" x14ac:dyDescent="0.2">
      <c r="A485" s="9"/>
      <c r="B485" s="9"/>
      <c r="C485" s="9"/>
    </row>
    <row r="486" spans="1:3" x14ac:dyDescent="0.2">
      <c r="A486" s="9"/>
      <c r="B486" s="9"/>
      <c r="C486" s="9"/>
    </row>
    <row r="487" spans="1:3" x14ac:dyDescent="0.2">
      <c r="A487" s="9"/>
      <c r="B487" s="9"/>
      <c r="C487" s="9"/>
    </row>
    <row r="488" spans="1:3" x14ac:dyDescent="0.2">
      <c r="A488" s="9"/>
      <c r="B488" s="9"/>
      <c r="C488" s="9"/>
    </row>
    <row r="489" spans="1:3" x14ac:dyDescent="0.2">
      <c r="A489" s="9"/>
      <c r="B489" s="9"/>
      <c r="C489" s="9"/>
    </row>
    <row r="490" spans="1:3" x14ac:dyDescent="0.2">
      <c r="A490" s="9"/>
      <c r="B490" s="9"/>
      <c r="C490" s="9"/>
    </row>
    <row r="491" spans="1:3" x14ac:dyDescent="0.2">
      <c r="A491" s="9"/>
      <c r="B491" s="9"/>
      <c r="C491" s="9"/>
    </row>
    <row r="492" spans="1:3" x14ac:dyDescent="0.2">
      <c r="A492" s="9"/>
      <c r="B492" s="9"/>
      <c r="C492" s="9"/>
    </row>
    <row r="493" spans="1:3" x14ac:dyDescent="0.2">
      <c r="A493" s="9"/>
      <c r="B493" s="9"/>
      <c r="C493" s="9"/>
    </row>
    <row r="494" spans="1:3" x14ac:dyDescent="0.2">
      <c r="A494" s="9"/>
      <c r="B494" s="9"/>
      <c r="C494" s="9"/>
    </row>
    <row r="495" spans="1:3" x14ac:dyDescent="0.2">
      <c r="A495" s="9"/>
      <c r="B495" s="9"/>
      <c r="C495" s="9"/>
    </row>
    <row r="496" spans="1:3" x14ac:dyDescent="0.2">
      <c r="A496" s="9"/>
      <c r="B496" s="9"/>
      <c r="C496" s="9"/>
    </row>
    <row r="497" spans="1:3" x14ac:dyDescent="0.2">
      <c r="A497" s="9"/>
      <c r="B497" s="9"/>
      <c r="C497" s="9"/>
    </row>
    <row r="498" spans="1:3" x14ac:dyDescent="0.2">
      <c r="A498" s="9"/>
      <c r="B498" s="9"/>
      <c r="C498" s="9"/>
    </row>
    <row r="499" spans="1:3" x14ac:dyDescent="0.2">
      <c r="A499" s="9"/>
      <c r="B499" s="9"/>
      <c r="C499" s="9"/>
    </row>
    <row r="500" spans="1:3" x14ac:dyDescent="0.2">
      <c r="A500" s="9"/>
      <c r="B500" s="9"/>
      <c r="C500" s="9"/>
    </row>
    <row r="501" spans="1:3" x14ac:dyDescent="0.2">
      <c r="A501" s="9"/>
      <c r="B501" s="9"/>
      <c r="C501" s="9"/>
    </row>
    <row r="502" spans="1:3" x14ac:dyDescent="0.2">
      <c r="A502" s="9"/>
      <c r="B502" s="9"/>
      <c r="C502" s="9"/>
    </row>
    <row r="503" spans="1:3" x14ac:dyDescent="0.2">
      <c r="A503" s="9"/>
      <c r="B503" s="9"/>
      <c r="C503" s="9"/>
    </row>
    <row r="504" spans="1:3" x14ac:dyDescent="0.2">
      <c r="A504" s="9"/>
      <c r="B504" s="9"/>
      <c r="C504" s="9"/>
    </row>
    <row r="505" spans="1:3" x14ac:dyDescent="0.2">
      <c r="A505" s="9"/>
      <c r="B505" s="9"/>
      <c r="C505" s="9"/>
    </row>
    <row r="506" spans="1:3" x14ac:dyDescent="0.2">
      <c r="A506" s="9"/>
      <c r="B506" s="9"/>
      <c r="C506" s="9"/>
    </row>
    <row r="507" spans="1:3" x14ac:dyDescent="0.2">
      <c r="A507" s="9"/>
      <c r="B507" s="9"/>
      <c r="C507" s="9"/>
    </row>
    <row r="508" spans="1:3" x14ac:dyDescent="0.2">
      <c r="A508" s="9"/>
      <c r="B508" s="9"/>
      <c r="C508" s="9"/>
    </row>
    <row r="509" spans="1:3" x14ac:dyDescent="0.2">
      <c r="A509" s="9"/>
      <c r="B509" s="9"/>
      <c r="C509" s="9"/>
    </row>
    <row r="510" spans="1:3" x14ac:dyDescent="0.2">
      <c r="A510" s="9"/>
      <c r="B510" s="9"/>
      <c r="C510" s="9"/>
    </row>
    <row r="511" spans="1:3" x14ac:dyDescent="0.2">
      <c r="A511" s="9"/>
      <c r="B511" s="9"/>
      <c r="C511" s="9"/>
    </row>
    <row r="512" spans="1:3" x14ac:dyDescent="0.2">
      <c r="A512" s="9"/>
      <c r="B512" s="9"/>
      <c r="C512" s="9"/>
    </row>
    <row r="513" spans="1:3" x14ac:dyDescent="0.2">
      <c r="A513" s="9"/>
      <c r="B513" s="9"/>
      <c r="C513" s="9"/>
    </row>
    <row r="514" spans="1:3" x14ac:dyDescent="0.2">
      <c r="A514" s="9"/>
      <c r="B514" s="9"/>
      <c r="C514" s="9"/>
    </row>
    <row r="515" spans="1:3" x14ac:dyDescent="0.2">
      <c r="A515" s="9"/>
      <c r="B515" s="9"/>
      <c r="C515" s="9"/>
    </row>
    <row r="516" spans="1:3" x14ac:dyDescent="0.2">
      <c r="A516" s="9"/>
      <c r="B516" s="9"/>
      <c r="C516" s="9"/>
    </row>
    <row r="517" spans="1:3" x14ac:dyDescent="0.2">
      <c r="A517" s="9"/>
      <c r="B517" s="9"/>
      <c r="C517" s="9"/>
    </row>
    <row r="518" spans="1:3" x14ac:dyDescent="0.2">
      <c r="A518" s="9"/>
      <c r="B518" s="9"/>
      <c r="C518" s="9"/>
    </row>
    <row r="519" spans="1:3" x14ac:dyDescent="0.2">
      <c r="A519" s="9"/>
      <c r="B519" s="9"/>
      <c r="C519" s="9"/>
    </row>
    <row r="520" spans="1:3" x14ac:dyDescent="0.2">
      <c r="A520" s="9"/>
      <c r="B520" s="9"/>
      <c r="C520" s="9"/>
    </row>
    <row r="521" spans="1:3" x14ac:dyDescent="0.2">
      <c r="A521" s="9"/>
      <c r="B521" s="9"/>
      <c r="C521" s="9"/>
    </row>
    <row r="522" spans="1:3" x14ac:dyDescent="0.2">
      <c r="A522" s="9"/>
      <c r="B522" s="9"/>
      <c r="C522" s="9"/>
    </row>
    <row r="523" spans="1:3" x14ac:dyDescent="0.2">
      <c r="A523" s="9"/>
      <c r="B523" s="9"/>
      <c r="C523" s="9"/>
    </row>
    <row r="524" spans="1:3" x14ac:dyDescent="0.2">
      <c r="A524" s="9"/>
      <c r="B524" s="9"/>
      <c r="C524" s="9"/>
    </row>
    <row r="525" spans="1:3" x14ac:dyDescent="0.2">
      <c r="A525" s="9"/>
      <c r="B525" s="9"/>
      <c r="C525" s="9"/>
    </row>
    <row r="526" spans="1:3" x14ac:dyDescent="0.2">
      <c r="A526" s="9"/>
      <c r="B526" s="9"/>
      <c r="C526" s="9"/>
    </row>
    <row r="527" spans="1:3" x14ac:dyDescent="0.2">
      <c r="A527" s="9"/>
      <c r="B527" s="9"/>
      <c r="C527" s="9"/>
    </row>
    <row r="528" spans="1:3" x14ac:dyDescent="0.2">
      <c r="A528" s="9"/>
      <c r="B528" s="9"/>
      <c r="C528" s="9"/>
    </row>
    <row r="529" spans="1:3" x14ac:dyDescent="0.2">
      <c r="A529" s="9"/>
      <c r="B529" s="9"/>
      <c r="C529" s="9"/>
    </row>
    <row r="530" spans="1:3" x14ac:dyDescent="0.2">
      <c r="A530" s="9"/>
      <c r="B530" s="9"/>
      <c r="C530" s="9"/>
    </row>
    <row r="531" spans="1:3" x14ac:dyDescent="0.2">
      <c r="A531" s="9"/>
      <c r="B531" s="9"/>
      <c r="C531" s="9"/>
    </row>
    <row r="532" spans="1:3" x14ac:dyDescent="0.2">
      <c r="A532" s="9"/>
      <c r="B532" s="9"/>
      <c r="C532" s="9"/>
    </row>
    <row r="533" spans="1:3" x14ac:dyDescent="0.2">
      <c r="A533" s="9"/>
      <c r="B533" s="9"/>
      <c r="C533" s="9"/>
    </row>
    <row r="534" spans="1:3" x14ac:dyDescent="0.2">
      <c r="A534" s="9"/>
      <c r="B534" s="9"/>
      <c r="C534" s="9"/>
    </row>
    <row r="535" spans="1:3" x14ac:dyDescent="0.2">
      <c r="A535" s="9"/>
      <c r="B535" s="9"/>
      <c r="C535" s="9"/>
    </row>
    <row r="536" spans="1:3" x14ac:dyDescent="0.2">
      <c r="A536" s="9"/>
      <c r="B536" s="9"/>
      <c r="C536" s="9"/>
    </row>
    <row r="537" spans="1:3" x14ac:dyDescent="0.2">
      <c r="A537" s="9"/>
      <c r="B537" s="9"/>
      <c r="C537" s="9"/>
    </row>
    <row r="538" spans="1:3" x14ac:dyDescent="0.2">
      <c r="A538" s="9"/>
      <c r="B538" s="9"/>
      <c r="C538" s="9"/>
    </row>
    <row r="539" spans="1:3" x14ac:dyDescent="0.2">
      <c r="A539" s="9"/>
      <c r="B539" s="9"/>
      <c r="C539" s="9"/>
    </row>
    <row r="540" spans="1:3" x14ac:dyDescent="0.2">
      <c r="A540" s="9"/>
      <c r="B540" s="9"/>
      <c r="C540" s="9"/>
    </row>
    <row r="541" spans="1:3" x14ac:dyDescent="0.2">
      <c r="A541" s="9"/>
      <c r="B541" s="9"/>
      <c r="C541" s="9"/>
    </row>
    <row r="542" spans="1:3" x14ac:dyDescent="0.2">
      <c r="A542" s="9"/>
      <c r="B542" s="9"/>
      <c r="C542" s="9"/>
    </row>
    <row r="543" spans="1:3" x14ac:dyDescent="0.2">
      <c r="A543" s="9"/>
      <c r="B543" s="9"/>
      <c r="C543" s="9"/>
    </row>
  </sheetData>
  <sheetProtection password="CC7C" sheet="1" objects="1" scenarios="1"/>
  <mergeCells count="1">
    <mergeCell ref="C4:C5"/>
  </mergeCells>
  <pageMargins left="0.5" right="0.5" top="0.65" bottom="0.65" header="0.3" footer="0.26"/>
  <pageSetup scale="99" fitToHeight="0" orientation="landscape" cellComments="asDisplayed" r:id="rId1"/>
  <headerFooter alignWithMargins="0">
    <oddHeader>&amp;L&amp;10[Agency/Organization Name]
[Project Name]&amp;R&amp;10BUSINESS CASE WORKBOOK 
[Version Number] [Revision Date mm/dd/yy]</oddHeader>
    <oddFooter>&amp;L&amp;10Based on DIR Document 10BC-W2-2&amp;C&amp;10&amp;K000000Page &amp;P of &amp;N&amp;R&amp;10Business Justification</oddFooter>
  </headerFooter>
  <rowBreaks count="1" manualBreakCount="1">
    <brk id="149" max="16383" man="1"/>
  </rowBreak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9"/>
    <pageSetUpPr autoPageBreaks="0"/>
  </sheetPr>
  <dimension ref="A1:O426"/>
  <sheetViews>
    <sheetView showGridLines="0" zoomScale="85" zoomScaleNormal="85" workbookViewId="0">
      <selection activeCell="C7" sqref="C7"/>
    </sheetView>
  </sheetViews>
  <sheetFormatPr defaultColWidth="9" defaultRowHeight="14.25" x14ac:dyDescent="0.2"/>
  <cols>
    <col min="1" max="1" width="6" style="8" customWidth="1"/>
    <col min="2" max="2" width="47.125" style="8" customWidth="1"/>
    <col min="3" max="3" width="20.75" style="8" customWidth="1"/>
    <col min="4" max="13" width="12.75" style="8" customWidth="1"/>
    <col min="14" max="14" width="1" style="8" customWidth="1"/>
    <col min="15" max="15" width="14.25" style="15" customWidth="1"/>
    <col min="16" max="16384" width="9" style="8"/>
  </cols>
  <sheetData>
    <row r="1" spans="1:15" s="2" customFormat="1" ht="31.5" customHeight="1" thickBot="1" x14ac:dyDescent="0.25">
      <c r="A1" s="5" t="s">
        <v>734</v>
      </c>
      <c r="B1" s="5"/>
      <c r="C1" s="5"/>
      <c r="D1" s="14"/>
      <c r="E1" s="14"/>
      <c r="F1" s="14"/>
      <c r="G1" s="14"/>
      <c r="H1" s="14"/>
      <c r="I1" s="14"/>
      <c r="J1" s="14"/>
      <c r="N1" s="8"/>
      <c r="O1" s="15"/>
    </row>
    <row r="2" spans="1:15" s="69" customFormat="1" ht="16.5" customHeight="1" thickBot="1" x14ac:dyDescent="0.25">
      <c r="A2" s="74" t="s">
        <v>89</v>
      </c>
      <c r="B2" s="74" t="s">
        <v>76</v>
      </c>
      <c r="C2" s="136"/>
      <c r="D2" s="75" t="s">
        <v>77</v>
      </c>
      <c r="E2" s="75" t="s">
        <v>78</v>
      </c>
      <c r="F2" s="75" t="s">
        <v>79</v>
      </c>
      <c r="G2" s="75" t="s">
        <v>80</v>
      </c>
      <c r="H2" s="75" t="s">
        <v>81</v>
      </c>
      <c r="I2" s="75" t="s">
        <v>82</v>
      </c>
      <c r="J2" s="75" t="s">
        <v>83</v>
      </c>
      <c r="K2" s="75" t="s">
        <v>84</v>
      </c>
      <c r="L2" s="75" t="s">
        <v>85</v>
      </c>
      <c r="M2" s="76" t="s">
        <v>86</v>
      </c>
      <c r="N2" s="8"/>
      <c r="O2" s="10" t="s">
        <v>88</v>
      </c>
    </row>
    <row r="3" spans="1:15" s="69" customFormat="1" ht="17.25" customHeight="1" x14ac:dyDescent="0.25">
      <c r="A3" s="98"/>
      <c r="B3" s="30" t="s">
        <v>233</v>
      </c>
      <c r="C3" s="811" t="s">
        <v>412</v>
      </c>
      <c r="D3" s="28"/>
      <c r="E3" s="28"/>
      <c r="F3" s="28"/>
      <c r="G3" s="28"/>
      <c r="H3" s="28"/>
      <c r="I3" s="28"/>
      <c r="J3" s="28"/>
      <c r="K3" s="28"/>
      <c r="L3" s="28"/>
      <c r="M3" s="77"/>
      <c r="N3" s="19"/>
      <c r="O3" s="29"/>
    </row>
    <row r="4" spans="1:15" s="69" customFormat="1" ht="24" customHeight="1" x14ac:dyDescent="0.2">
      <c r="A4" s="41"/>
      <c r="B4" s="41" t="s">
        <v>294</v>
      </c>
      <c r="C4" s="812"/>
      <c r="D4" s="166"/>
      <c r="E4" s="42"/>
      <c r="F4" s="42"/>
      <c r="G4" s="42"/>
      <c r="H4" s="42"/>
      <c r="I4" s="42"/>
      <c r="J4" s="42"/>
      <c r="K4" s="42"/>
      <c r="L4" s="42"/>
      <c r="M4" s="320"/>
      <c r="N4" s="22"/>
      <c r="O4" s="34"/>
    </row>
    <row r="5" spans="1:15" s="69" customFormat="1" ht="12.75" x14ac:dyDescent="0.2">
      <c r="A5" s="39" t="s">
        <v>201</v>
      </c>
      <c r="B5" s="39" t="s">
        <v>296</v>
      </c>
      <c r="C5" s="325"/>
      <c r="D5" s="191">
        <v>0</v>
      </c>
      <c r="E5" s="192">
        <v>0</v>
      </c>
      <c r="F5" s="193">
        <v>0</v>
      </c>
      <c r="G5" s="192">
        <v>0</v>
      </c>
      <c r="H5" s="193">
        <v>0</v>
      </c>
      <c r="I5" s="192">
        <v>0</v>
      </c>
      <c r="J5" s="193">
        <v>0</v>
      </c>
      <c r="K5" s="192">
        <v>0</v>
      </c>
      <c r="L5" s="193">
        <v>0</v>
      </c>
      <c r="M5" s="194">
        <v>0</v>
      </c>
      <c r="N5" s="12"/>
      <c r="O5" s="215">
        <f>SUM(D5:M5)</f>
        <v>0</v>
      </c>
    </row>
    <row r="6" spans="1:15" s="69" customFormat="1" ht="25.5" x14ac:dyDescent="0.2">
      <c r="A6" s="38" t="s">
        <v>202</v>
      </c>
      <c r="B6" s="38" t="s">
        <v>295</v>
      </c>
      <c r="C6" s="324" t="s">
        <v>759</v>
      </c>
      <c r="D6" s="195">
        <v>0</v>
      </c>
      <c r="E6" s="196">
        <v>0</v>
      </c>
      <c r="F6" s="197">
        <f>Additional_Agency_Information!D134</f>
        <v>2500000</v>
      </c>
      <c r="G6" s="197">
        <f>Additional_Agency_Information!E134</f>
        <v>2500000</v>
      </c>
      <c r="H6" s="197">
        <f>Additional_Agency_Information!F134</f>
        <v>2500000</v>
      </c>
      <c r="I6" s="197">
        <f>Additional_Agency_Information!G134</f>
        <v>2500000</v>
      </c>
      <c r="J6" s="197">
        <f>Additional_Agency_Information!H134</f>
        <v>2500000</v>
      </c>
      <c r="K6" s="197">
        <f>Additional_Agency_Information!I134</f>
        <v>2500000</v>
      </c>
      <c r="L6" s="197">
        <f>Additional_Agency_Information!J134</f>
        <v>2500000</v>
      </c>
      <c r="M6" s="197">
        <f>Additional_Agency_Information!K134</f>
        <v>2500000</v>
      </c>
      <c r="N6" s="12"/>
      <c r="O6" s="216">
        <f>SUM(D6:M6)</f>
        <v>20000000</v>
      </c>
    </row>
    <row r="7" spans="1:15" s="69" customFormat="1" ht="12.75" x14ac:dyDescent="0.2">
      <c r="A7" s="38" t="s">
        <v>203</v>
      </c>
      <c r="B7" s="38" t="s">
        <v>262</v>
      </c>
      <c r="C7" s="324"/>
      <c r="D7" s="195">
        <v>0</v>
      </c>
      <c r="E7" s="196">
        <v>0</v>
      </c>
      <c r="F7" s="197">
        <v>0</v>
      </c>
      <c r="G7" s="196">
        <v>0</v>
      </c>
      <c r="H7" s="197">
        <v>0</v>
      </c>
      <c r="I7" s="196">
        <v>0</v>
      </c>
      <c r="J7" s="197">
        <v>0</v>
      </c>
      <c r="K7" s="196">
        <v>0</v>
      </c>
      <c r="L7" s="197">
        <v>0</v>
      </c>
      <c r="M7" s="198">
        <v>0</v>
      </c>
      <c r="N7" s="12"/>
      <c r="O7" s="216">
        <f>SUM(D7:M7)</f>
        <v>0</v>
      </c>
    </row>
    <row r="8" spans="1:15" s="69" customFormat="1" ht="12.75" x14ac:dyDescent="0.2">
      <c r="A8" s="38" t="s">
        <v>204</v>
      </c>
      <c r="B8" s="38" t="s">
        <v>289</v>
      </c>
      <c r="C8" s="324"/>
      <c r="D8" s="195">
        <v>0</v>
      </c>
      <c r="E8" s="196">
        <v>0</v>
      </c>
      <c r="F8" s="197">
        <v>0</v>
      </c>
      <c r="G8" s="196">
        <v>0</v>
      </c>
      <c r="H8" s="197">
        <v>0</v>
      </c>
      <c r="I8" s="196">
        <v>0</v>
      </c>
      <c r="J8" s="197">
        <v>0</v>
      </c>
      <c r="K8" s="196">
        <v>0</v>
      </c>
      <c r="L8" s="197">
        <v>0</v>
      </c>
      <c r="M8" s="198">
        <v>0</v>
      </c>
      <c r="N8" s="12"/>
      <c r="O8" s="216">
        <f>SUM(D8:M8)</f>
        <v>0</v>
      </c>
    </row>
    <row r="9" spans="1:15" s="69" customFormat="1" ht="25.5" x14ac:dyDescent="0.2">
      <c r="A9" s="38" t="s">
        <v>205</v>
      </c>
      <c r="B9" s="38" t="s">
        <v>320</v>
      </c>
      <c r="C9" s="727" t="s">
        <v>727</v>
      </c>
      <c r="D9" s="195">
        <v>0</v>
      </c>
      <c r="E9" s="196">
        <v>0</v>
      </c>
      <c r="F9" s="197">
        <f>Additional_Agency_Information!D137</f>
        <v>14600000</v>
      </c>
      <c r="G9" s="197">
        <f>Additional_Agency_Information!E137</f>
        <v>14600000</v>
      </c>
      <c r="H9" s="197">
        <f>Additional_Agency_Information!F137</f>
        <v>14600000</v>
      </c>
      <c r="I9" s="197">
        <f>Additional_Agency_Information!G137</f>
        <v>14600000</v>
      </c>
      <c r="J9" s="197">
        <f>Additional_Agency_Information!H137</f>
        <v>14600000</v>
      </c>
      <c r="K9" s="197">
        <f>Additional_Agency_Information!I137</f>
        <v>14600000</v>
      </c>
      <c r="L9" s="197">
        <f>Additional_Agency_Information!J137</f>
        <v>14600000</v>
      </c>
      <c r="M9" s="197">
        <f>Additional_Agency_Information!K137</f>
        <v>14600000</v>
      </c>
      <c r="N9" s="12"/>
      <c r="O9" s="216">
        <f>SUM(D9:M9)</f>
        <v>116800000</v>
      </c>
    </row>
    <row r="10" spans="1:15" s="69" customFormat="1" ht="12.75" x14ac:dyDescent="0.2">
      <c r="A10" s="38" t="s">
        <v>206</v>
      </c>
      <c r="B10" s="38" t="s">
        <v>292</v>
      </c>
      <c r="C10" s="324"/>
      <c r="D10" s="195">
        <v>0</v>
      </c>
      <c r="E10" s="196">
        <v>0</v>
      </c>
      <c r="F10" s="197">
        <v>0</v>
      </c>
      <c r="G10" s="196">
        <v>0</v>
      </c>
      <c r="H10" s="197">
        <v>0</v>
      </c>
      <c r="I10" s="196">
        <v>0</v>
      </c>
      <c r="J10" s="197">
        <v>0</v>
      </c>
      <c r="K10" s="196">
        <v>0</v>
      </c>
      <c r="L10" s="197">
        <v>0</v>
      </c>
      <c r="M10" s="198">
        <v>0</v>
      </c>
      <c r="N10" s="12"/>
      <c r="O10" s="216">
        <f t="shared" ref="O10:O15" si="0">SUM(D10:M10)</f>
        <v>0</v>
      </c>
    </row>
    <row r="11" spans="1:15" s="69" customFormat="1" ht="12.75" x14ac:dyDescent="0.2">
      <c r="A11" s="38" t="s">
        <v>207</v>
      </c>
      <c r="B11" s="38" t="s">
        <v>293</v>
      </c>
      <c r="C11" s="324"/>
      <c r="D11" s="195">
        <v>0</v>
      </c>
      <c r="E11" s="196">
        <v>0</v>
      </c>
      <c r="F11" s="197">
        <v>0</v>
      </c>
      <c r="G11" s="196">
        <v>0</v>
      </c>
      <c r="H11" s="197">
        <v>0</v>
      </c>
      <c r="I11" s="196">
        <v>0</v>
      </c>
      <c r="J11" s="197">
        <v>0</v>
      </c>
      <c r="K11" s="196">
        <v>0</v>
      </c>
      <c r="L11" s="197">
        <v>0</v>
      </c>
      <c r="M11" s="198">
        <v>0</v>
      </c>
      <c r="N11" s="12"/>
      <c r="O11" s="216">
        <f t="shared" si="0"/>
        <v>0</v>
      </c>
    </row>
    <row r="12" spans="1:15" s="69" customFormat="1" ht="12.75" x14ac:dyDescent="0.2">
      <c r="A12" s="38" t="s">
        <v>208</v>
      </c>
      <c r="B12" s="38" t="s">
        <v>267</v>
      </c>
      <c r="C12" s="324"/>
      <c r="D12" s="195">
        <v>0</v>
      </c>
      <c r="E12" s="196">
        <v>0</v>
      </c>
      <c r="F12" s="197">
        <v>0</v>
      </c>
      <c r="G12" s="196">
        <v>0</v>
      </c>
      <c r="H12" s="197">
        <v>0</v>
      </c>
      <c r="I12" s="196">
        <v>0</v>
      </c>
      <c r="J12" s="197">
        <v>0</v>
      </c>
      <c r="K12" s="196">
        <v>0</v>
      </c>
      <c r="L12" s="197">
        <v>0</v>
      </c>
      <c r="M12" s="198">
        <v>0</v>
      </c>
      <c r="N12" s="12"/>
      <c r="O12" s="216">
        <f t="shared" si="0"/>
        <v>0</v>
      </c>
    </row>
    <row r="13" spans="1:15" s="69" customFormat="1" ht="12.75" x14ac:dyDescent="0.2">
      <c r="A13" s="38" t="s">
        <v>209</v>
      </c>
      <c r="B13" s="38" t="s">
        <v>301</v>
      </c>
      <c r="C13" s="324"/>
      <c r="D13" s="195">
        <v>0</v>
      </c>
      <c r="E13" s="196">
        <v>0</v>
      </c>
      <c r="F13" s="197">
        <v>0</v>
      </c>
      <c r="G13" s="196">
        <v>0</v>
      </c>
      <c r="H13" s="197">
        <v>0</v>
      </c>
      <c r="I13" s="196">
        <v>0</v>
      </c>
      <c r="J13" s="197">
        <v>0</v>
      </c>
      <c r="K13" s="196">
        <v>0</v>
      </c>
      <c r="L13" s="197">
        <v>0</v>
      </c>
      <c r="M13" s="198">
        <v>0</v>
      </c>
      <c r="N13" s="12"/>
      <c r="O13" s="216">
        <f t="shared" si="0"/>
        <v>0</v>
      </c>
    </row>
    <row r="14" spans="1:15" s="69" customFormat="1" ht="12.75" x14ac:dyDescent="0.2">
      <c r="A14" s="38" t="s">
        <v>210</v>
      </c>
      <c r="B14" s="267" t="s">
        <v>300</v>
      </c>
      <c r="C14" s="324"/>
      <c r="D14" s="195">
        <v>0</v>
      </c>
      <c r="E14" s="196">
        <v>0</v>
      </c>
      <c r="F14" s="197">
        <v>0</v>
      </c>
      <c r="G14" s="196">
        <v>0</v>
      </c>
      <c r="H14" s="197">
        <v>0</v>
      </c>
      <c r="I14" s="196">
        <v>0</v>
      </c>
      <c r="J14" s="197">
        <v>0</v>
      </c>
      <c r="K14" s="196">
        <v>0</v>
      </c>
      <c r="L14" s="197">
        <v>0</v>
      </c>
      <c r="M14" s="198">
        <v>0</v>
      </c>
      <c r="N14" s="12"/>
      <c r="O14" s="216">
        <f>SUM(D14:M14)</f>
        <v>0</v>
      </c>
    </row>
    <row r="15" spans="1:15" s="69" customFormat="1" ht="12.75" x14ac:dyDescent="0.2">
      <c r="A15" s="38" t="s">
        <v>211</v>
      </c>
      <c r="B15" s="267" t="s">
        <v>300</v>
      </c>
      <c r="C15" s="324"/>
      <c r="D15" s="195">
        <v>0</v>
      </c>
      <c r="E15" s="196">
        <v>0</v>
      </c>
      <c r="F15" s="197">
        <v>0</v>
      </c>
      <c r="G15" s="196">
        <v>0</v>
      </c>
      <c r="H15" s="197">
        <v>0</v>
      </c>
      <c r="I15" s="196">
        <v>0</v>
      </c>
      <c r="J15" s="197">
        <v>0</v>
      </c>
      <c r="K15" s="196">
        <v>0</v>
      </c>
      <c r="L15" s="197">
        <v>0</v>
      </c>
      <c r="M15" s="198">
        <v>0</v>
      </c>
      <c r="N15" s="12"/>
      <c r="O15" s="216">
        <f t="shared" si="0"/>
        <v>0</v>
      </c>
    </row>
    <row r="16" spans="1:15" s="69" customFormat="1" ht="12.75" x14ac:dyDescent="0.2">
      <c r="A16" s="38" t="s">
        <v>212</v>
      </c>
      <c r="B16" s="267" t="s">
        <v>300</v>
      </c>
      <c r="C16" s="326"/>
      <c r="D16" s="195">
        <v>0</v>
      </c>
      <c r="E16" s="196">
        <v>0</v>
      </c>
      <c r="F16" s="197">
        <v>0</v>
      </c>
      <c r="G16" s="196">
        <v>0</v>
      </c>
      <c r="H16" s="197">
        <v>0</v>
      </c>
      <c r="I16" s="196">
        <v>0</v>
      </c>
      <c r="J16" s="197">
        <v>0</v>
      </c>
      <c r="K16" s="196">
        <v>0</v>
      </c>
      <c r="L16" s="197">
        <v>0</v>
      </c>
      <c r="M16" s="198">
        <v>0</v>
      </c>
      <c r="N16" s="12"/>
      <c r="O16" s="216">
        <f>SUM(D16:M16)</f>
        <v>0</v>
      </c>
    </row>
    <row r="17" spans="1:15" s="69" customFormat="1" ht="12.75" x14ac:dyDescent="0.2">
      <c r="A17" s="38" t="s">
        <v>213</v>
      </c>
      <c r="B17" s="267" t="s">
        <v>300</v>
      </c>
      <c r="C17" s="326"/>
      <c r="D17" s="195">
        <v>0</v>
      </c>
      <c r="E17" s="196">
        <v>0</v>
      </c>
      <c r="F17" s="197">
        <v>0</v>
      </c>
      <c r="G17" s="196">
        <v>0</v>
      </c>
      <c r="H17" s="197">
        <v>0</v>
      </c>
      <c r="I17" s="196">
        <v>0</v>
      </c>
      <c r="J17" s="197">
        <v>0</v>
      </c>
      <c r="K17" s="196">
        <v>0</v>
      </c>
      <c r="L17" s="197">
        <v>0</v>
      </c>
      <c r="M17" s="198">
        <v>0</v>
      </c>
      <c r="N17" s="12"/>
      <c r="O17" s="216">
        <f>SUM(D17:M17)</f>
        <v>0</v>
      </c>
    </row>
    <row r="18" spans="1:15" s="69" customFormat="1" ht="12.75" x14ac:dyDescent="0.2">
      <c r="A18" s="106"/>
      <c r="B18" s="316"/>
      <c r="C18" s="641"/>
      <c r="D18" s="642"/>
      <c r="E18" s="643"/>
      <c r="F18" s="644"/>
      <c r="G18" s="643"/>
      <c r="H18" s="644"/>
      <c r="I18" s="643"/>
      <c r="J18" s="644"/>
      <c r="K18" s="643"/>
      <c r="L18" s="644"/>
      <c r="M18" s="645"/>
      <c r="N18" s="12"/>
      <c r="O18" s="217"/>
    </row>
    <row r="19" spans="1:15" s="69" customFormat="1" ht="15" x14ac:dyDescent="0.25">
      <c r="A19" s="91" t="s">
        <v>214</v>
      </c>
      <c r="B19" s="91" t="s">
        <v>297</v>
      </c>
      <c r="C19" s="313"/>
      <c r="D19" s="60">
        <f>SUM(D5:D18)</f>
        <v>0</v>
      </c>
      <c r="E19" s="61">
        <f t="shared" ref="E19:M19" si="1">SUM(E5:E18)</f>
        <v>0</v>
      </c>
      <c r="F19" s="61">
        <f t="shared" si="1"/>
        <v>17100000</v>
      </c>
      <c r="G19" s="61">
        <f t="shared" si="1"/>
        <v>17100000</v>
      </c>
      <c r="H19" s="61">
        <f t="shared" si="1"/>
        <v>17100000</v>
      </c>
      <c r="I19" s="61">
        <f t="shared" si="1"/>
        <v>17100000</v>
      </c>
      <c r="J19" s="61">
        <f t="shared" si="1"/>
        <v>17100000</v>
      </c>
      <c r="K19" s="61">
        <f t="shared" si="1"/>
        <v>17100000</v>
      </c>
      <c r="L19" s="61">
        <f t="shared" si="1"/>
        <v>17100000</v>
      </c>
      <c r="M19" s="62">
        <f t="shared" si="1"/>
        <v>17100000</v>
      </c>
      <c r="N19" s="8"/>
      <c r="O19" s="65">
        <f>SUM(O5:O18)</f>
        <v>136800000</v>
      </c>
    </row>
    <row r="20" spans="1:15" s="69" customFormat="1" ht="12.75" x14ac:dyDescent="0.2">
      <c r="A20" s="90"/>
      <c r="B20" s="90" t="s">
        <v>298</v>
      </c>
      <c r="C20" s="385"/>
      <c r="D20" s="21"/>
      <c r="E20" s="21"/>
      <c r="F20" s="21"/>
      <c r="G20" s="21"/>
      <c r="H20" s="21"/>
      <c r="I20" s="21"/>
      <c r="J20" s="21"/>
      <c r="K20" s="21"/>
      <c r="L20" s="21"/>
      <c r="M20" s="78"/>
      <c r="N20" s="23"/>
      <c r="O20" s="218"/>
    </row>
    <row r="21" spans="1:15" s="69" customFormat="1" ht="12.75" x14ac:dyDescent="0.2">
      <c r="A21" s="48" t="s">
        <v>215</v>
      </c>
      <c r="B21" s="48" t="s">
        <v>266</v>
      </c>
      <c r="C21" s="325"/>
      <c r="D21" s="191">
        <v>0</v>
      </c>
      <c r="E21" s="192">
        <v>0</v>
      </c>
      <c r="F21" s="193">
        <v>0</v>
      </c>
      <c r="G21" s="192">
        <v>0</v>
      </c>
      <c r="H21" s="193">
        <v>0</v>
      </c>
      <c r="I21" s="192">
        <v>0</v>
      </c>
      <c r="J21" s="193">
        <v>0</v>
      </c>
      <c r="K21" s="192">
        <v>0</v>
      </c>
      <c r="L21" s="193">
        <v>0</v>
      </c>
      <c r="M21" s="194">
        <v>0</v>
      </c>
      <c r="N21" s="12"/>
      <c r="O21" s="215">
        <f t="shared" ref="O21:O28" si="2">SUM(D21:M21)</f>
        <v>0</v>
      </c>
    </row>
    <row r="22" spans="1:15" s="69" customFormat="1" ht="89.25" x14ac:dyDescent="0.2">
      <c r="A22" s="49" t="s">
        <v>216</v>
      </c>
      <c r="B22" s="49" t="s">
        <v>265</v>
      </c>
      <c r="C22" s="324" t="s">
        <v>755</v>
      </c>
      <c r="D22" s="195">
        <v>0</v>
      </c>
      <c r="E22" s="196">
        <v>0</v>
      </c>
      <c r="F22" s="197">
        <v>0</v>
      </c>
      <c r="G22" s="196">
        <v>0</v>
      </c>
      <c r="H22" s="197">
        <v>0</v>
      </c>
      <c r="I22" s="196">
        <v>0</v>
      </c>
      <c r="J22" s="197">
        <v>0</v>
      </c>
      <c r="K22" s="196">
        <v>0</v>
      </c>
      <c r="L22" s="197">
        <v>0</v>
      </c>
      <c r="M22" s="198">
        <v>0</v>
      </c>
      <c r="N22" s="12"/>
      <c r="O22" s="216">
        <f t="shared" si="2"/>
        <v>0</v>
      </c>
    </row>
    <row r="23" spans="1:15" s="69" customFormat="1" ht="12.75" x14ac:dyDescent="0.2">
      <c r="A23" s="38" t="s">
        <v>217</v>
      </c>
      <c r="B23" s="38" t="s">
        <v>322</v>
      </c>
      <c r="C23" s="324"/>
      <c r="D23" s="195">
        <v>0</v>
      </c>
      <c r="E23" s="196">
        <v>0</v>
      </c>
      <c r="F23" s="197">
        <v>0</v>
      </c>
      <c r="G23" s="196">
        <v>0</v>
      </c>
      <c r="H23" s="197">
        <v>0</v>
      </c>
      <c r="I23" s="196">
        <v>0</v>
      </c>
      <c r="J23" s="197">
        <v>0</v>
      </c>
      <c r="K23" s="196">
        <v>0</v>
      </c>
      <c r="L23" s="197">
        <v>0</v>
      </c>
      <c r="M23" s="198">
        <v>0</v>
      </c>
      <c r="N23" s="12"/>
      <c r="O23" s="216">
        <f t="shared" si="2"/>
        <v>0</v>
      </c>
    </row>
    <row r="24" spans="1:15" s="69" customFormat="1" ht="12.75" x14ac:dyDescent="0.2">
      <c r="A24" s="105" t="s">
        <v>218</v>
      </c>
      <c r="B24" s="105" t="s">
        <v>290</v>
      </c>
      <c r="C24" s="324"/>
      <c r="D24" s="195">
        <v>0</v>
      </c>
      <c r="E24" s="196">
        <v>0</v>
      </c>
      <c r="F24" s="197">
        <v>0</v>
      </c>
      <c r="G24" s="196">
        <v>0</v>
      </c>
      <c r="H24" s="197">
        <v>0</v>
      </c>
      <c r="I24" s="196">
        <v>0</v>
      </c>
      <c r="J24" s="197">
        <v>0</v>
      </c>
      <c r="K24" s="196">
        <v>0</v>
      </c>
      <c r="L24" s="197">
        <v>0</v>
      </c>
      <c r="M24" s="198">
        <v>0</v>
      </c>
      <c r="N24" s="12"/>
      <c r="O24" s="216">
        <f t="shared" si="2"/>
        <v>0</v>
      </c>
    </row>
    <row r="25" spans="1:15" s="69" customFormat="1" ht="12.75" x14ac:dyDescent="0.2">
      <c r="A25" s="38" t="s">
        <v>219</v>
      </c>
      <c r="B25" s="267" t="s">
        <v>299</v>
      </c>
      <c r="C25" s="324"/>
      <c r="D25" s="195">
        <v>0</v>
      </c>
      <c r="E25" s="196">
        <v>0</v>
      </c>
      <c r="F25" s="197">
        <v>0</v>
      </c>
      <c r="G25" s="196">
        <v>0</v>
      </c>
      <c r="H25" s="197">
        <v>0</v>
      </c>
      <c r="I25" s="196">
        <v>0</v>
      </c>
      <c r="J25" s="197">
        <v>0</v>
      </c>
      <c r="K25" s="196">
        <v>0</v>
      </c>
      <c r="L25" s="197">
        <v>0</v>
      </c>
      <c r="M25" s="198">
        <v>0</v>
      </c>
      <c r="N25" s="12"/>
      <c r="O25" s="216">
        <f t="shared" si="2"/>
        <v>0</v>
      </c>
    </row>
    <row r="26" spans="1:15" s="69" customFormat="1" ht="12.75" x14ac:dyDescent="0.2">
      <c r="A26" s="38" t="s">
        <v>220</v>
      </c>
      <c r="B26" s="267" t="s">
        <v>299</v>
      </c>
      <c r="C26" s="324"/>
      <c r="D26" s="195">
        <v>0</v>
      </c>
      <c r="E26" s="196">
        <v>0</v>
      </c>
      <c r="F26" s="197">
        <v>0</v>
      </c>
      <c r="G26" s="196">
        <v>0</v>
      </c>
      <c r="H26" s="197">
        <v>0</v>
      </c>
      <c r="I26" s="196">
        <v>0</v>
      </c>
      <c r="J26" s="197">
        <v>0</v>
      </c>
      <c r="K26" s="196">
        <v>0</v>
      </c>
      <c r="L26" s="197">
        <v>0</v>
      </c>
      <c r="M26" s="198">
        <v>0</v>
      </c>
      <c r="N26" s="12"/>
      <c r="O26" s="216">
        <f t="shared" si="2"/>
        <v>0</v>
      </c>
    </row>
    <row r="27" spans="1:15" s="69" customFormat="1" ht="12.75" x14ac:dyDescent="0.2">
      <c r="A27" s="38" t="s">
        <v>221</v>
      </c>
      <c r="B27" s="267" t="s">
        <v>299</v>
      </c>
      <c r="C27" s="324"/>
      <c r="D27" s="195">
        <v>0</v>
      </c>
      <c r="E27" s="196">
        <v>0</v>
      </c>
      <c r="F27" s="197">
        <v>0</v>
      </c>
      <c r="G27" s="196">
        <v>0</v>
      </c>
      <c r="H27" s="197">
        <v>0</v>
      </c>
      <c r="I27" s="196">
        <v>0</v>
      </c>
      <c r="J27" s="197">
        <v>0</v>
      </c>
      <c r="K27" s="196">
        <v>0</v>
      </c>
      <c r="L27" s="197">
        <v>0</v>
      </c>
      <c r="M27" s="198">
        <v>0</v>
      </c>
      <c r="N27" s="12"/>
      <c r="O27" s="216">
        <f t="shared" si="2"/>
        <v>0</v>
      </c>
    </row>
    <row r="28" spans="1:15" s="69" customFormat="1" ht="12.75" x14ac:dyDescent="0.2">
      <c r="A28" s="38" t="s">
        <v>222</v>
      </c>
      <c r="B28" s="267" t="s">
        <v>299</v>
      </c>
      <c r="C28" s="324"/>
      <c r="D28" s="195">
        <v>0</v>
      </c>
      <c r="E28" s="196">
        <v>0</v>
      </c>
      <c r="F28" s="197">
        <v>0</v>
      </c>
      <c r="G28" s="196">
        <v>0</v>
      </c>
      <c r="H28" s="197">
        <v>0</v>
      </c>
      <c r="I28" s="196">
        <v>0</v>
      </c>
      <c r="J28" s="197">
        <v>0</v>
      </c>
      <c r="K28" s="196">
        <v>0</v>
      </c>
      <c r="L28" s="197">
        <v>0</v>
      </c>
      <c r="M28" s="198">
        <v>0</v>
      </c>
      <c r="N28" s="12"/>
      <c r="O28" s="216">
        <f t="shared" si="2"/>
        <v>0</v>
      </c>
    </row>
    <row r="29" spans="1:15" s="69" customFormat="1" ht="12.75" x14ac:dyDescent="0.2">
      <c r="A29" s="106"/>
      <c r="B29" s="316"/>
      <c r="C29" s="646"/>
      <c r="D29" s="642"/>
      <c r="E29" s="643"/>
      <c r="F29" s="644"/>
      <c r="G29" s="643"/>
      <c r="H29" s="644"/>
      <c r="I29" s="643"/>
      <c r="J29" s="644"/>
      <c r="K29" s="643"/>
      <c r="L29" s="644"/>
      <c r="M29" s="645"/>
      <c r="N29" s="12"/>
      <c r="O29" s="217"/>
    </row>
    <row r="30" spans="1:15" s="69" customFormat="1" ht="15" x14ac:dyDescent="0.25">
      <c r="A30" s="91" t="s">
        <v>223</v>
      </c>
      <c r="B30" s="91" t="s">
        <v>264</v>
      </c>
      <c r="C30" s="313"/>
      <c r="D30" s="60">
        <f>SUM(D21:D29)</f>
        <v>0</v>
      </c>
      <c r="E30" s="61">
        <f t="shared" ref="E30:M30" si="3">SUM(E21:E29)</f>
        <v>0</v>
      </c>
      <c r="F30" s="61">
        <f t="shared" si="3"/>
        <v>0</v>
      </c>
      <c r="G30" s="61">
        <f t="shared" si="3"/>
        <v>0</v>
      </c>
      <c r="H30" s="61">
        <f t="shared" si="3"/>
        <v>0</v>
      </c>
      <c r="I30" s="61">
        <f t="shared" si="3"/>
        <v>0</v>
      </c>
      <c r="J30" s="61">
        <f t="shared" si="3"/>
        <v>0</v>
      </c>
      <c r="K30" s="61">
        <f t="shared" si="3"/>
        <v>0</v>
      </c>
      <c r="L30" s="61">
        <f t="shared" si="3"/>
        <v>0</v>
      </c>
      <c r="M30" s="62">
        <f t="shared" si="3"/>
        <v>0</v>
      </c>
      <c r="N30" s="8"/>
      <c r="O30" s="65">
        <f>SUM(O21:O29)</f>
        <v>0</v>
      </c>
    </row>
    <row r="31" spans="1:15" s="69" customFormat="1" ht="12.75" x14ac:dyDescent="0.2">
      <c r="A31" s="36"/>
      <c r="B31" s="36" t="s">
        <v>87</v>
      </c>
      <c r="C31" s="385"/>
      <c r="D31" s="50"/>
      <c r="E31" s="50"/>
      <c r="F31" s="50"/>
      <c r="G31" s="50"/>
      <c r="H31" s="50"/>
      <c r="I31" s="50"/>
      <c r="J31" s="50"/>
      <c r="K31" s="50"/>
      <c r="L31" s="50"/>
      <c r="M31" s="79"/>
      <c r="N31" s="23"/>
      <c r="O31" s="218"/>
    </row>
    <row r="32" spans="1:15" s="69" customFormat="1" ht="12.75" x14ac:dyDescent="0.2">
      <c r="A32" s="51" t="s">
        <v>224</v>
      </c>
      <c r="B32" s="317" t="s">
        <v>291</v>
      </c>
      <c r="C32" s="325"/>
      <c r="D32" s="191">
        <v>0</v>
      </c>
      <c r="E32" s="192">
        <v>0</v>
      </c>
      <c r="F32" s="193">
        <v>0</v>
      </c>
      <c r="G32" s="192">
        <v>0</v>
      </c>
      <c r="H32" s="193">
        <v>0</v>
      </c>
      <c r="I32" s="192">
        <v>0</v>
      </c>
      <c r="J32" s="193">
        <v>0</v>
      </c>
      <c r="K32" s="192">
        <v>0</v>
      </c>
      <c r="L32" s="193">
        <v>0</v>
      </c>
      <c r="M32" s="194">
        <v>0</v>
      </c>
      <c r="N32" s="12"/>
      <c r="O32" s="215">
        <f t="shared" ref="O32:O37" si="4">SUM(D32:M32)</f>
        <v>0</v>
      </c>
    </row>
    <row r="33" spans="1:15" s="69" customFormat="1" ht="12.75" x14ac:dyDescent="0.2">
      <c r="A33" s="44" t="s">
        <v>225</v>
      </c>
      <c r="B33" s="38" t="s">
        <v>321</v>
      </c>
      <c r="C33" s="324"/>
      <c r="D33" s="195">
        <v>0</v>
      </c>
      <c r="E33" s="196">
        <v>0</v>
      </c>
      <c r="F33" s="197">
        <v>0</v>
      </c>
      <c r="G33" s="196">
        <v>0</v>
      </c>
      <c r="H33" s="197">
        <v>0</v>
      </c>
      <c r="I33" s="196">
        <v>0</v>
      </c>
      <c r="J33" s="197">
        <v>0</v>
      </c>
      <c r="K33" s="196">
        <v>0</v>
      </c>
      <c r="L33" s="197">
        <v>0</v>
      </c>
      <c r="M33" s="198">
        <v>0</v>
      </c>
      <c r="N33" s="12"/>
      <c r="O33" s="216">
        <f t="shared" si="4"/>
        <v>0</v>
      </c>
    </row>
    <row r="34" spans="1:15" s="69" customFormat="1" ht="12.75" x14ac:dyDescent="0.2">
      <c r="A34" s="44" t="s">
        <v>226</v>
      </c>
      <c r="B34" s="267" t="s">
        <v>302</v>
      </c>
      <c r="C34" s="324"/>
      <c r="D34" s="195">
        <v>0</v>
      </c>
      <c r="E34" s="196">
        <v>0</v>
      </c>
      <c r="F34" s="197">
        <v>0</v>
      </c>
      <c r="G34" s="196">
        <v>0</v>
      </c>
      <c r="H34" s="197">
        <v>0</v>
      </c>
      <c r="I34" s="196">
        <v>0</v>
      </c>
      <c r="J34" s="197">
        <v>0</v>
      </c>
      <c r="K34" s="196">
        <v>0</v>
      </c>
      <c r="L34" s="197">
        <v>0</v>
      </c>
      <c r="M34" s="198">
        <v>0</v>
      </c>
      <c r="N34" s="12"/>
      <c r="O34" s="216">
        <f t="shared" si="4"/>
        <v>0</v>
      </c>
    </row>
    <row r="35" spans="1:15" s="69" customFormat="1" ht="12.75" x14ac:dyDescent="0.2">
      <c r="A35" s="44" t="s">
        <v>227</v>
      </c>
      <c r="B35" s="267" t="s">
        <v>302</v>
      </c>
      <c r="C35" s="324"/>
      <c r="D35" s="195">
        <v>0</v>
      </c>
      <c r="E35" s="196">
        <v>0</v>
      </c>
      <c r="F35" s="197">
        <v>0</v>
      </c>
      <c r="G35" s="196">
        <v>0</v>
      </c>
      <c r="H35" s="197">
        <v>0</v>
      </c>
      <c r="I35" s="196">
        <v>0</v>
      </c>
      <c r="J35" s="197">
        <v>0</v>
      </c>
      <c r="K35" s="196">
        <v>0</v>
      </c>
      <c r="L35" s="197">
        <v>0</v>
      </c>
      <c r="M35" s="198">
        <v>0</v>
      </c>
      <c r="N35" s="12"/>
      <c r="O35" s="216">
        <f t="shared" si="4"/>
        <v>0</v>
      </c>
    </row>
    <row r="36" spans="1:15" s="69" customFormat="1" ht="12.75" x14ac:dyDescent="0.2">
      <c r="A36" s="44" t="s">
        <v>228</v>
      </c>
      <c r="B36" s="267" t="s">
        <v>302</v>
      </c>
      <c r="C36" s="324"/>
      <c r="D36" s="195">
        <v>0</v>
      </c>
      <c r="E36" s="196">
        <v>0</v>
      </c>
      <c r="F36" s="197">
        <v>0</v>
      </c>
      <c r="G36" s="196">
        <v>0</v>
      </c>
      <c r="H36" s="197">
        <v>0</v>
      </c>
      <c r="I36" s="196">
        <v>0</v>
      </c>
      <c r="J36" s="197">
        <v>0</v>
      </c>
      <c r="K36" s="196">
        <v>0</v>
      </c>
      <c r="L36" s="197">
        <v>0</v>
      </c>
      <c r="M36" s="198">
        <v>0</v>
      </c>
      <c r="N36" s="12"/>
      <c r="O36" s="216">
        <f t="shared" si="4"/>
        <v>0</v>
      </c>
    </row>
    <row r="37" spans="1:15" s="69" customFormat="1" ht="12.75" x14ac:dyDescent="0.2">
      <c r="A37" s="38" t="s">
        <v>229</v>
      </c>
      <c r="B37" s="267" t="s">
        <v>302</v>
      </c>
      <c r="C37" s="324"/>
      <c r="D37" s="195">
        <v>0</v>
      </c>
      <c r="E37" s="196">
        <v>0</v>
      </c>
      <c r="F37" s="197">
        <v>0</v>
      </c>
      <c r="G37" s="196">
        <v>0</v>
      </c>
      <c r="H37" s="197">
        <v>0</v>
      </c>
      <c r="I37" s="196">
        <v>0</v>
      </c>
      <c r="J37" s="197">
        <v>0</v>
      </c>
      <c r="K37" s="196">
        <v>0</v>
      </c>
      <c r="L37" s="197">
        <v>0</v>
      </c>
      <c r="M37" s="198">
        <v>0</v>
      </c>
      <c r="N37" s="12"/>
      <c r="O37" s="216">
        <f t="shared" si="4"/>
        <v>0</v>
      </c>
    </row>
    <row r="38" spans="1:15" s="69" customFormat="1" ht="12.75" x14ac:dyDescent="0.2">
      <c r="A38" s="106"/>
      <c r="B38" s="316"/>
      <c r="C38" s="646"/>
      <c r="D38" s="642"/>
      <c r="E38" s="643"/>
      <c r="F38" s="644"/>
      <c r="G38" s="643"/>
      <c r="H38" s="644"/>
      <c r="I38" s="643"/>
      <c r="J38" s="644"/>
      <c r="K38" s="643"/>
      <c r="L38" s="644"/>
      <c r="M38" s="645"/>
      <c r="N38" s="12"/>
      <c r="O38" s="217"/>
    </row>
    <row r="39" spans="1:15" s="69" customFormat="1" ht="15" x14ac:dyDescent="0.25">
      <c r="A39" s="91" t="s">
        <v>230</v>
      </c>
      <c r="B39" s="91" t="s">
        <v>263</v>
      </c>
      <c r="C39" s="313"/>
      <c r="D39" s="60">
        <f>SUM(D32:D38)</f>
        <v>0</v>
      </c>
      <c r="E39" s="61">
        <f t="shared" ref="E39:M39" si="5">SUM(E32:E38)</f>
        <v>0</v>
      </c>
      <c r="F39" s="61">
        <f t="shared" si="5"/>
        <v>0</v>
      </c>
      <c r="G39" s="61">
        <f t="shared" si="5"/>
        <v>0</v>
      </c>
      <c r="H39" s="61">
        <f t="shared" si="5"/>
        <v>0</v>
      </c>
      <c r="I39" s="61">
        <f t="shared" si="5"/>
        <v>0</v>
      </c>
      <c r="J39" s="61">
        <f t="shared" si="5"/>
        <v>0</v>
      </c>
      <c r="K39" s="61">
        <f t="shared" si="5"/>
        <v>0</v>
      </c>
      <c r="L39" s="61">
        <f t="shared" si="5"/>
        <v>0</v>
      </c>
      <c r="M39" s="62">
        <f t="shared" si="5"/>
        <v>0</v>
      </c>
      <c r="N39" s="8"/>
      <c r="O39" s="65">
        <f>SUM(O32:O38)</f>
        <v>0</v>
      </c>
    </row>
    <row r="40" spans="1:15" s="69" customFormat="1" ht="17.25" customHeight="1" x14ac:dyDescent="0.25">
      <c r="A40" s="87" t="s">
        <v>231</v>
      </c>
      <c r="B40" s="87" t="s">
        <v>178</v>
      </c>
      <c r="C40" s="314"/>
      <c r="D40" s="85">
        <f>D19+D30+D39</f>
        <v>0</v>
      </c>
      <c r="E40" s="85">
        <f>E19+E30+E39</f>
        <v>0</v>
      </c>
      <c r="F40" s="85">
        <f t="shared" ref="F40:K40" si="6">F19+F30+F39</f>
        <v>17100000</v>
      </c>
      <c r="G40" s="85">
        <f t="shared" si="6"/>
        <v>17100000</v>
      </c>
      <c r="H40" s="85">
        <f t="shared" si="6"/>
        <v>17100000</v>
      </c>
      <c r="I40" s="85">
        <f t="shared" si="6"/>
        <v>17100000</v>
      </c>
      <c r="J40" s="85">
        <f t="shared" si="6"/>
        <v>17100000</v>
      </c>
      <c r="K40" s="85">
        <f t="shared" si="6"/>
        <v>17100000</v>
      </c>
      <c r="L40" s="85">
        <f>L19+L30+L39</f>
        <v>17100000</v>
      </c>
      <c r="M40" s="63">
        <f>M19+M30+M39</f>
        <v>17100000</v>
      </c>
      <c r="N40" s="16"/>
      <c r="O40" s="65">
        <f>O19+O30+O39</f>
        <v>136800000</v>
      </c>
    </row>
    <row r="41" spans="1:15" s="69" customFormat="1" ht="32.25" customHeight="1" thickBot="1" x14ac:dyDescent="0.3">
      <c r="A41" s="88" t="s">
        <v>232</v>
      </c>
      <c r="B41" s="88" t="s">
        <v>177</v>
      </c>
      <c r="C41" s="315"/>
      <c r="D41" s="86">
        <f>D40</f>
        <v>0</v>
      </c>
      <c r="E41" s="66">
        <f>D41+E40</f>
        <v>0</v>
      </c>
      <c r="F41" s="66">
        <f t="shared" ref="F41:M41" si="7">E41+F40</f>
        <v>17100000</v>
      </c>
      <c r="G41" s="66">
        <f t="shared" si="7"/>
        <v>34200000</v>
      </c>
      <c r="H41" s="66">
        <f t="shared" si="7"/>
        <v>51300000</v>
      </c>
      <c r="I41" s="66">
        <f t="shared" si="7"/>
        <v>68400000</v>
      </c>
      <c r="J41" s="66">
        <f t="shared" si="7"/>
        <v>85500000</v>
      </c>
      <c r="K41" s="66">
        <f t="shared" si="7"/>
        <v>102600000</v>
      </c>
      <c r="L41" s="66">
        <f t="shared" si="7"/>
        <v>119700000</v>
      </c>
      <c r="M41" s="67">
        <f t="shared" si="7"/>
        <v>136800000</v>
      </c>
      <c r="N41" s="16"/>
      <c r="O41" s="64">
        <f>M41</f>
        <v>136800000</v>
      </c>
    </row>
    <row r="42" spans="1:15" s="69" customFormat="1" ht="15" x14ac:dyDescent="0.25">
      <c r="A42" s="107"/>
      <c r="B42" s="107"/>
      <c r="C42" s="104"/>
      <c r="D42" s="96"/>
      <c r="E42" s="96"/>
      <c r="F42" s="96"/>
      <c r="G42" s="96"/>
      <c r="H42" s="96"/>
      <c r="I42" s="96"/>
      <c r="J42" s="96"/>
      <c r="K42" s="96"/>
      <c r="L42" s="96"/>
      <c r="M42" s="96"/>
      <c r="N42" s="58"/>
      <c r="O42" s="96"/>
    </row>
    <row r="43" spans="1:15" s="69" customFormat="1" ht="15.75" thickBot="1" x14ac:dyDescent="0.3">
      <c r="A43" s="59"/>
      <c r="B43" s="59"/>
      <c r="C43" s="59"/>
      <c r="D43" s="96"/>
      <c r="E43" s="96"/>
      <c r="F43" s="96"/>
      <c r="G43" s="96"/>
      <c r="H43" s="96"/>
      <c r="I43" s="96"/>
      <c r="J43" s="96"/>
      <c r="K43" s="96"/>
      <c r="L43" s="96"/>
      <c r="M43" s="96"/>
      <c r="N43" s="58"/>
      <c r="O43" s="96"/>
    </row>
    <row r="44" spans="1:15" s="69" customFormat="1" ht="15.75" thickBot="1" x14ac:dyDescent="0.25">
      <c r="A44" s="74" t="s">
        <v>89</v>
      </c>
      <c r="B44" s="74" t="s">
        <v>76</v>
      </c>
      <c r="C44" s="136"/>
      <c r="D44" s="75" t="s">
        <v>77</v>
      </c>
      <c r="E44" s="75" t="s">
        <v>78</v>
      </c>
      <c r="F44" s="75" t="s">
        <v>79</v>
      </c>
      <c r="G44" s="75" t="s">
        <v>80</v>
      </c>
      <c r="H44" s="75" t="s">
        <v>81</v>
      </c>
      <c r="I44" s="75" t="s">
        <v>82</v>
      </c>
      <c r="J44" s="75" t="s">
        <v>83</v>
      </c>
      <c r="K44" s="75" t="s">
        <v>84</v>
      </c>
      <c r="L44" s="75" t="s">
        <v>85</v>
      </c>
      <c r="M44" s="321" t="s">
        <v>86</v>
      </c>
      <c r="N44" s="8"/>
      <c r="O44" s="10" t="s">
        <v>88</v>
      </c>
    </row>
    <row r="45" spans="1:15" s="69" customFormat="1" ht="15" x14ac:dyDescent="0.25">
      <c r="A45" s="99"/>
      <c r="B45" s="140" t="s">
        <v>303</v>
      </c>
      <c r="C45" s="647"/>
      <c r="D45" s="97"/>
      <c r="E45" s="97"/>
      <c r="F45" s="97"/>
      <c r="G45" s="97"/>
      <c r="H45" s="97"/>
      <c r="I45" s="97"/>
      <c r="J45" s="97"/>
      <c r="K45" s="97"/>
      <c r="L45" s="97"/>
      <c r="M45" s="77"/>
      <c r="N45" s="19"/>
      <c r="O45" s="219"/>
    </row>
    <row r="46" spans="1:15" s="69" customFormat="1" x14ac:dyDescent="0.2">
      <c r="A46" s="41"/>
      <c r="B46" s="41" t="s">
        <v>9</v>
      </c>
      <c r="C46" s="386"/>
      <c r="D46" s="14"/>
      <c r="E46" s="42"/>
      <c r="F46" s="42"/>
      <c r="G46" s="42"/>
      <c r="H46" s="42"/>
      <c r="I46" s="42"/>
      <c r="J46" s="42"/>
      <c r="K46" s="42"/>
      <c r="L46" s="42"/>
      <c r="M46" s="728"/>
      <c r="N46" s="22"/>
      <c r="O46" s="220"/>
    </row>
    <row r="47" spans="1:15" s="69" customFormat="1" ht="12.75" x14ac:dyDescent="0.2">
      <c r="A47" s="39" t="s">
        <v>283</v>
      </c>
      <c r="B47" s="39" t="s">
        <v>327</v>
      </c>
      <c r="C47" s="325"/>
      <c r="D47" s="192">
        <v>0</v>
      </c>
      <c r="E47" s="193">
        <v>0</v>
      </c>
      <c r="F47" s="730">
        <v>0</v>
      </c>
      <c r="G47" s="731">
        <v>0</v>
      </c>
      <c r="H47" s="730">
        <v>0</v>
      </c>
      <c r="I47" s="731">
        <v>0</v>
      </c>
      <c r="J47" s="730">
        <v>0</v>
      </c>
      <c r="K47" s="731">
        <v>0</v>
      </c>
      <c r="L47" s="732">
        <v>0</v>
      </c>
      <c r="M47" s="730">
        <v>0</v>
      </c>
      <c r="N47" s="12"/>
      <c r="O47" s="215">
        <f>SUM(D47:M47)</f>
        <v>0</v>
      </c>
    </row>
    <row r="48" spans="1:15" s="69" customFormat="1" ht="51" x14ac:dyDescent="0.2">
      <c r="A48" s="44" t="s">
        <v>284</v>
      </c>
      <c r="B48" s="38" t="s">
        <v>335</v>
      </c>
      <c r="C48" s="727" t="s">
        <v>756</v>
      </c>
      <c r="D48" s="195">
        <v>0</v>
      </c>
      <c r="E48" s="729">
        <v>0</v>
      </c>
      <c r="F48" s="736">
        <f>Additional_Agency_Information!D159</f>
        <v>72115384.615384623</v>
      </c>
      <c r="G48" s="736">
        <f>Additional_Agency_Information!E159</f>
        <v>72115384.615384623</v>
      </c>
      <c r="H48" s="736">
        <f>Additional_Agency_Information!F159</f>
        <v>72115384.615384623</v>
      </c>
      <c r="I48" s="736">
        <f>Additional_Agency_Information!G159</f>
        <v>72115384.615384623</v>
      </c>
      <c r="J48" s="736">
        <f>Additional_Agency_Information!H159</f>
        <v>72115384.615384623</v>
      </c>
      <c r="K48" s="736">
        <f>Additional_Agency_Information!I159</f>
        <v>72115384.615384623</v>
      </c>
      <c r="L48" s="736">
        <f>Additional_Agency_Information!J159</f>
        <v>72115384.615384623</v>
      </c>
      <c r="M48" s="736">
        <f>Additional_Agency_Information!K159</f>
        <v>72115384.615384623</v>
      </c>
      <c r="N48" s="12"/>
      <c r="O48" s="216">
        <f t="shared" ref="O48:O54" si="8">SUM(D48:M48)</f>
        <v>576923076.92307699</v>
      </c>
    </row>
    <row r="49" spans="1:15" s="69" customFormat="1" ht="12.75" x14ac:dyDescent="0.2">
      <c r="A49" s="44" t="s">
        <v>285</v>
      </c>
      <c r="B49" s="38" t="s">
        <v>336</v>
      </c>
      <c r="C49" s="324"/>
      <c r="D49" s="195">
        <v>0</v>
      </c>
      <c r="E49" s="196">
        <v>0</v>
      </c>
      <c r="F49" s="733">
        <v>0</v>
      </c>
      <c r="G49" s="734">
        <v>0</v>
      </c>
      <c r="H49" s="733">
        <v>0</v>
      </c>
      <c r="I49" s="734">
        <v>0</v>
      </c>
      <c r="J49" s="733">
        <v>0</v>
      </c>
      <c r="K49" s="734">
        <v>0</v>
      </c>
      <c r="L49" s="733">
        <v>0</v>
      </c>
      <c r="M49" s="735">
        <v>0</v>
      </c>
      <c r="N49" s="12"/>
      <c r="O49" s="216">
        <f t="shared" si="8"/>
        <v>0</v>
      </c>
    </row>
    <row r="50" spans="1:15" s="69" customFormat="1" ht="12.75" x14ac:dyDescent="0.2">
      <c r="A50" s="44" t="s">
        <v>286</v>
      </c>
      <c r="B50" s="38" t="s">
        <v>319</v>
      </c>
      <c r="C50" s="324"/>
      <c r="D50" s="195">
        <v>0</v>
      </c>
      <c r="E50" s="196">
        <v>0</v>
      </c>
      <c r="F50" s="197">
        <v>0</v>
      </c>
      <c r="G50" s="196">
        <v>0</v>
      </c>
      <c r="H50" s="197">
        <v>0</v>
      </c>
      <c r="I50" s="196">
        <v>0</v>
      </c>
      <c r="J50" s="197">
        <v>0</v>
      </c>
      <c r="K50" s="196">
        <v>0</v>
      </c>
      <c r="L50" s="197">
        <v>0</v>
      </c>
      <c r="M50" s="198">
        <v>0</v>
      </c>
      <c r="N50" s="12"/>
      <c r="O50" s="216">
        <f t="shared" si="8"/>
        <v>0</v>
      </c>
    </row>
    <row r="51" spans="1:15" s="69" customFormat="1" ht="51" x14ac:dyDescent="0.2">
      <c r="A51" s="44" t="s">
        <v>287</v>
      </c>
      <c r="B51" s="267" t="s">
        <v>758</v>
      </c>
      <c r="C51" s="324" t="s">
        <v>757</v>
      </c>
      <c r="D51" s="195">
        <v>0</v>
      </c>
      <c r="E51" s="196">
        <v>0</v>
      </c>
      <c r="F51" s="197">
        <f>Additional_Agency_Information!D163</f>
        <v>3812500</v>
      </c>
      <c r="G51" s="197">
        <f>Additional_Agency_Information!E163</f>
        <v>3812500</v>
      </c>
      <c r="H51" s="197">
        <f>Additional_Agency_Information!F163</f>
        <v>3812500</v>
      </c>
      <c r="I51" s="197">
        <f>Additional_Agency_Information!G163</f>
        <v>3812500</v>
      </c>
      <c r="J51" s="197">
        <f>Additional_Agency_Information!H163</f>
        <v>3812500</v>
      </c>
      <c r="K51" s="197">
        <f>Additional_Agency_Information!I163</f>
        <v>3812500</v>
      </c>
      <c r="L51" s="197">
        <f>Additional_Agency_Information!J163</f>
        <v>3812500</v>
      </c>
      <c r="M51" s="197">
        <f>Additional_Agency_Information!K163</f>
        <v>3812500</v>
      </c>
      <c r="N51" s="12"/>
      <c r="O51" s="216">
        <f t="shared" si="8"/>
        <v>30500000</v>
      </c>
    </row>
    <row r="52" spans="1:15" s="69" customFormat="1" ht="12.75" x14ac:dyDescent="0.2">
      <c r="A52" s="44" t="s">
        <v>288</v>
      </c>
      <c r="B52" s="267" t="s">
        <v>11</v>
      </c>
      <c r="C52" s="324"/>
      <c r="D52" s="195">
        <v>0</v>
      </c>
      <c r="E52" s="196">
        <v>0</v>
      </c>
      <c r="F52" s="197">
        <v>0</v>
      </c>
      <c r="G52" s="196">
        <v>0</v>
      </c>
      <c r="H52" s="197">
        <v>0</v>
      </c>
      <c r="I52" s="196">
        <v>0</v>
      </c>
      <c r="J52" s="197">
        <v>0</v>
      </c>
      <c r="K52" s="196">
        <v>0</v>
      </c>
      <c r="L52" s="197">
        <v>0</v>
      </c>
      <c r="M52" s="198">
        <v>0</v>
      </c>
      <c r="N52" s="12"/>
      <c r="O52" s="216">
        <f t="shared" si="8"/>
        <v>0</v>
      </c>
    </row>
    <row r="53" spans="1:15" s="69" customFormat="1" ht="12.75" x14ac:dyDescent="0.2">
      <c r="A53" s="44" t="s">
        <v>304</v>
      </c>
      <c r="B53" s="267" t="s">
        <v>11</v>
      </c>
      <c r="C53" s="324"/>
      <c r="D53" s="195">
        <v>0</v>
      </c>
      <c r="E53" s="196">
        <v>0</v>
      </c>
      <c r="F53" s="197">
        <v>0</v>
      </c>
      <c r="G53" s="196">
        <v>0</v>
      </c>
      <c r="H53" s="197">
        <v>0</v>
      </c>
      <c r="I53" s="196">
        <v>0</v>
      </c>
      <c r="J53" s="197">
        <v>0</v>
      </c>
      <c r="K53" s="196">
        <v>0</v>
      </c>
      <c r="L53" s="197">
        <v>0</v>
      </c>
      <c r="M53" s="198">
        <v>0</v>
      </c>
      <c r="N53" s="12"/>
      <c r="O53" s="216">
        <f t="shared" si="8"/>
        <v>0</v>
      </c>
    </row>
    <row r="54" spans="1:15" s="69" customFormat="1" ht="15" customHeight="1" x14ac:dyDescent="0.2">
      <c r="A54" s="44" t="s">
        <v>305</v>
      </c>
      <c r="B54" s="267" t="s">
        <v>11</v>
      </c>
      <c r="C54" s="324"/>
      <c r="D54" s="195">
        <v>0</v>
      </c>
      <c r="E54" s="196">
        <v>0</v>
      </c>
      <c r="F54" s="197">
        <v>0</v>
      </c>
      <c r="G54" s="196">
        <v>0</v>
      </c>
      <c r="H54" s="197">
        <v>0</v>
      </c>
      <c r="I54" s="196">
        <v>0</v>
      </c>
      <c r="J54" s="197">
        <v>0</v>
      </c>
      <c r="K54" s="196">
        <v>0</v>
      </c>
      <c r="L54" s="197">
        <v>0</v>
      </c>
      <c r="M54" s="198">
        <v>0</v>
      </c>
      <c r="N54" s="12"/>
      <c r="O54" s="216">
        <f t="shared" si="8"/>
        <v>0</v>
      </c>
    </row>
    <row r="55" spans="1:15" s="69" customFormat="1" ht="12.75" x14ac:dyDescent="0.2">
      <c r="A55" s="106"/>
      <c r="B55" s="316"/>
      <c r="C55" s="646"/>
      <c r="D55" s="642"/>
      <c r="E55" s="643"/>
      <c r="F55" s="644"/>
      <c r="G55" s="643"/>
      <c r="H55" s="644"/>
      <c r="I55" s="643"/>
      <c r="J55" s="644"/>
      <c r="K55" s="643"/>
      <c r="L55" s="644"/>
      <c r="M55" s="645"/>
      <c r="N55" s="12"/>
      <c r="O55" s="217"/>
    </row>
    <row r="56" spans="1:15" s="69" customFormat="1" ht="15" x14ac:dyDescent="0.25">
      <c r="A56" s="91" t="s">
        <v>306</v>
      </c>
      <c r="B56" s="91" t="s">
        <v>10</v>
      </c>
      <c r="C56" s="313"/>
      <c r="D56" s="60">
        <f t="shared" ref="D56:M56" si="9">SUM(D47:D55)</f>
        <v>0</v>
      </c>
      <c r="E56" s="61">
        <f t="shared" si="9"/>
        <v>0</v>
      </c>
      <c r="F56" s="61">
        <f t="shared" si="9"/>
        <v>75927884.615384623</v>
      </c>
      <c r="G56" s="61">
        <f t="shared" si="9"/>
        <v>75927884.615384623</v>
      </c>
      <c r="H56" s="61">
        <f t="shared" si="9"/>
        <v>75927884.615384623</v>
      </c>
      <c r="I56" s="61">
        <f t="shared" si="9"/>
        <v>75927884.615384623</v>
      </c>
      <c r="J56" s="61">
        <f t="shared" si="9"/>
        <v>75927884.615384623</v>
      </c>
      <c r="K56" s="61">
        <f t="shared" si="9"/>
        <v>75927884.615384623</v>
      </c>
      <c r="L56" s="61">
        <f t="shared" si="9"/>
        <v>75927884.615384623</v>
      </c>
      <c r="M56" s="62">
        <f t="shared" si="9"/>
        <v>75927884.615384623</v>
      </c>
      <c r="N56" s="8"/>
      <c r="O56" s="65">
        <f>SUM(O47:O55)</f>
        <v>607423076.92307699</v>
      </c>
    </row>
    <row r="57" spans="1:15" s="69" customFormat="1" ht="12.75" x14ac:dyDescent="0.2">
      <c r="A57" s="36"/>
      <c r="B57" s="36" t="s">
        <v>192</v>
      </c>
      <c r="C57" s="385"/>
      <c r="D57" s="50"/>
      <c r="E57" s="50"/>
      <c r="F57" s="50"/>
      <c r="G57" s="50"/>
      <c r="H57" s="50"/>
      <c r="I57" s="50"/>
      <c r="J57" s="50"/>
      <c r="K57" s="50"/>
      <c r="L57" s="50"/>
      <c r="M57" s="79"/>
      <c r="N57" s="23"/>
      <c r="O57" s="218"/>
    </row>
    <row r="58" spans="1:15" s="69" customFormat="1" ht="12.75" x14ac:dyDescent="0.2">
      <c r="A58" s="39" t="s">
        <v>308</v>
      </c>
      <c r="B58" s="39" t="s">
        <v>324</v>
      </c>
      <c r="C58" s="325"/>
      <c r="D58" s="191">
        <v>0</v>
      </c>
      <c r="E58" s="192">
        <v>0</v>
      </c>
      <c r="F58" s="193">
        <v>0</v>
      </c>
      <c r="G58" s="192">
        <v>0</v>
      </c>
      <c r="H58" s="193">
        <v>0</v>
      </c>
      <c r="I58" s="192">
        <v>0</v>
      </c>
      <c r="J58" s="193">
        <v>0</v>
      </c>
      <c r="K58" s="192">
        <v>0</v>
      </c>
      <c r="L58" s="193">
        <v>0</v>
      </c>
      <c r="M58" s="194">
        <v>0</v>
      </c>
      <c r="N58" s="12"/>
      <c r="O58" s="215">
        <f t="shared" ref="O58:O65" si="10">SUM(D58:M58)</f>
        <v>0</v>
      </c>
    </row>
    <row r="59" spans="1:15" s="69" customFormat="1" ht="12.75" x14ac:dyDescent="0.2">
      <c r="A59" s="38" t="s">
        <v>309</v>
      </c>
      <c r="B59" s="38" t="s">
        <v>325</v>
      </c>
      <c r="C59" s="324"/>
      <c r="D59" s="195">
        <v>0</v>
      </c>
      <c r="E59" s="196">
        <v>0</v>
      </c>
      <c r="F59" s="197">
        <v>0</v>
      </c>
      <c r="G59" s="196">
        <v>0</v>
      </c>
      <c r="H59" s="197">
        <v>0</v>
      </c>
      <c r="I59" s="196">
        <v>0</v>
      </c>
      <c r="J59" s="197">
        <v>0</v>
      </c>
      <c r="K59" s="196">
        <v>0</v>
      </c>
      <c r="L59" s="197">
        <v>0</v>
      </c>
      <c r="M59" s="198">
        <v>0</v>
      </c>
      <c r="N59" s="12"/>
      <c r="O59" s="216">
        <f t="shared" si="10"/>
        <v>0</v>
      </c>
    </row>
    <row r="60" spans="1:15" s="69" customFormat="1" ht="12.75" x14ac:dyDescent="0.2">
      <c r="A60" s="38" t="s">
        <v>310</v>
      </c>
      <c r="B60" s="38" t="s">
        <v>323</v>
      </c>
      <c r="C60" s="324"/>
      <c r="D60" s="195">
        <v>0</v>
      </c>
      <c r="E60" s="196">
        <v>0</v>
      </c>
      <c r="F60" s="197">
        <v>0</v>
      </c>
      <c r="G60" s="196">
        <v>0</v>
      </c>
      <c r="H60" s="197">
        <v>0</v>
      </c>
      <c r="I60" s="196">
        <v>0</v>
      </c>
      <c r="J60" s="197">
        <v>0</v>
      </c>
      <c r="K60" s="196">
        <v>0</v>
      </c>
      <c r="L60" s="197">
        <v>0</v>
      </c>
      <c r="M60" s="198">
        <v>0</v>
      </c>
      <c r="N60" s="12"/>
      <c r="O60" s="216">
        <f t="shared" si="10"/>
        <v>0</v>
      </c>
    </row>
    <row r="61" spans="1:15" s="69" customFormat="1" ht="12.75" x14ac:dyDescent="0.2">
      <c r="A61" s="38" t="s">
        <v>311</v>
      </c>
      <c r="B61" s="38" t="s">
        <v>326</v>
      </c>
      <c r="C61" s="324"/>
      <c r="D61" s="195">
        <v>0</v>
      </c>
      <c r="E61" s="196">
        <v>0</v>
      </c>
      <c r="F61" s="197">
        <v>0</v>
      </c>
      <c r="G61" s="196">
        <v>0</v>
      </c>
      <c r="H61" s="197">
        <v>0</v>
      </c>
      <c r="I61" s="196">
        <v>0</v>
      </c>
      <c r="J61" s="197">
        <v>0</v>
      </c>
      <c r="K61" s="196">
        <v>0</v>
      </c>
      <c r="L61" s="197">
        <v>0</v>
      </c>
      <c r="M61" s="198">
        <v>0</v>
      </c>
      <c r="N61" s="12"/>
      <c r="O61" s="216">
        <f t="shared" si="10"/>
        <v>0</v>
      </c>
    </row>
    <row r="62" spans="1:15" s="69" customFormat="1" ht="12.75" x14ac:dyDescent="0.2">
      <c r="A62" s="44" t="s">
        <v>312</v>
      </c>
      <c r="B62" s="267" t="s">
        <v>314</v>
      </c>
      <c r="C62" s="324"/>
      <c r="D62" s="195">
        <v>0</v>
      </c>
      <c r="E62" s="196">
        <v>0</v>
      </c>
      <c r="F62" s="197">
        <v>0</v>
      </c>
      <c r="G62" s="196">
        <v>0</v>
      </c>
      <c r="H62" s="197">
        <v>0</v>
      </c>
      <c r="I62" s="196">
        <v>0</v>
      </c>
      <c r="J62" s="197">
        <v>0</v>
      </c>
      <c r="K62" s="196">
        <v>0</v>
      </c>
      <c r="L62" s="197">
        <v>0</v>
      </c>
      <c r="M62" s="198">
        <v>0</v>
      </c>
      <c r="N62" s="12"/>
      <c r="O62" s="216">
        <f t="shared" si="10"/>
        <v>0</v>
      </c>
    </row>
    <row r="63" spans="1:15" s="69" customFormat="1" ht="12.75" x14ac:dyDescent="0.2">
      <c r="A63" s="44" t="s">
        <v>315</v>
      </c>
      <c r="B63" s="267" t="s">
        <v>314</v>
      </c>
      <c r="C63" s="324"/>
      <c r="D63" s="195">
        <v>0</v>
      </c>
      <c r="E63" s="196">
        <v>0</v>
      </c>
      <c r="F63" s="197">
        <v>0</v>
      </c>
      <c r="G63" s="196">
        <v>0</v>
      </c>
      <c r="H63" s="197">
        <v>0</v>
      </c>
      <c r="I63" s="196">
        <v>0</v>
      </c>
      <c r="J63" s="197">
        <v>0</v>
      </c>
      <c r="K63" s="196">
        <v>0</v>
      </c>
      <c r="L63" s="197">
        <v>0</v>
      </c>
      <c r="M63" s="198">
        <v>0</v>
      </c>
      <c r="N63" s="12"/>
      <c r="O63" s="216">
        <f t="shared" si="10"/>
        <v>0</v>
      </c>
    </row>
    <row r="64" spans="1:15" s="69" customFormat="1" ht="12.75" x14ac:dyDescent="0.2">
      <c r="A64" s="44" t="s">
        <v>316</v>
      </c>
      <c r="B64" s="267" t="s">
        <v>314</v>
      </c>
      <c r="C64" s="324"/>
      <c r="D64" s="195">
        <v>0</v>
      </c>
      <c r="E64" s="196">
        <v>0</v>
      </c>
      <c r="F64" s="197">
        <v>0</v>
      </c>
      <c r="G64" s="196">
        <v>0</v>
      </c>
      <c r="H64" s="197">
        <v>0</v>
      </c>
      <c r="I64" s="196">
        <v>0</v>
      </c>
      <c r="J64" s="197">
        <v>0</v>
      </c>
      <c r="K64" s="196">
        <v>0</v>
      </c>
      <c r="L64" s="197">
        <v>0</v>
      </c>
      <c r="M64" s="198">
        <v>0</v>
      </c>
      <c r="N64" s="12"/>
      <c r="O64" s="216">
        <f t="shared" si="10"/>
        <v>0</v>
      </c>
    </row>
    <row r="65" spans="1:15" s="69" customFormat="1" ht="12.75" x14ac:dyDescent="0.2">
      <c r="A65" s="44" t="s">
        <v>317</v>
      </c>
      <c r="B65" s="267" t="s">
        <v>314</v>
      </c>
      <c r="C65" s="324"/>
      <c r="D65" s="195">
        <v>0</v>
      </c>
      <c r="E65" s="196">
        <v>0</v>
      </c>
      <c r="F65" s="197">
        <v>0</v>
      </c>
      <c r="G65" s="196">
        <v>0</v>
      </c>
      <c r="H65" s="197">
        <v>0</v>
      </c>
      <c r="I65" s="196">
        <v>0</v>
      </c>
      <c r="J65" s="197">
        <v>0</v>
      </c>
      <c r="K65" s="196">
        <v>0</v>
      </c>
      <c r="L65" s="197">
        <v>0</v>
      </c>
      <c r="M65" s="198">
        <v>0</v>
      </c>
      <c r="N65" s="12"/>
      <c r="O65" s="216">
        <f t="shared" si="10"/>
        <v>0</v>
      </c>
    </row>
    <row r="66" spans="1:15" s="69" customFormat="1" ht="12.75" x14ac:dyDescent="0.2">
      <c r="A66" s="106"/>
      <c r="B66" s="316"/>
      <c r="C66" s="646"/>
      <c r="D66" s="642"/>
      <c r="E66" s="643"/>
      <c r="F66" s="644"/>
      <c r="G66" s="643"/>
      <c r="H66" s="644"/>
      <c r="I66" s="643"/>
      <c r="J66" s="644"/>
      <c r="K66" s="643"/>
      <c r="L66" s="644"/>
      <c r="M66" s="645"/>
      <c r="N66" s="12"/>
      <c r="O66" s="217"/>
    </row>
    <row r="67" spans="1:15" s="69" customFormat="1" ht="15" x14ac:dyDescent="0.25">
      <c r="A67" s="91" t="s">
        <v>318</v>
      </c>
      <c r="B67" s="91" t="s">
        <v>188</v>
      </c>
      <c r="C67" s="313"/>
      <c r="D67" s="60">
        <f>SUM(D58:D66)</f>
        <v>0</v>
      </c>
      <c r="E67" s="61">
        <f t="shared" ref="E67:M67" si="11">SUM(E58:E66)</f>
        <v>0</v>
      </c>
      <c r="F67" s="61">
        <f t="shared" si="11"/>
        <v>0</v>
      </c>
      <c r="G67" s="61">
        <f t="shared" si="11"/>
        <v>0</v>
      </c>
      <c r="H67" s="61">
        <f t="shared" si="11"/>
        <v>0</v>
      </c>
      <c r="I67" s="61">
        <f t="shared" si="11"/>
        <v>0</v>
      </c>
      <c r="J67" s="61">
        <f t="shared" si="11"/>
        <v>0</v>
      </c>
      <c r="K67" s="61">
        <f t="shared" si="11"/>
        <v>0</v>
      </c>
      <c r="L67" s="61">
        <f t="shared" si="11"/>
        <v>0</v>
      </c>
      <c r="M67" s="62">
        <f t="shared" si="11"/>
        <v>0</v>
      </c>
      <c r="N67" s="8"/>
      <c r="O67" s="65">
        <f>SUM(O58:O66)</f>
        <v>0</v>
      </c>
    </row>
    <row r="68" spans="1:15" s="69" customFormat="1" ht="12.75" x14ac:dyDescent="0.2">
      <c r="A68" s="36"/>
      <c r="B68" s="36" t="s">
        <v>193</v>
      </c>
      <c r="C68" s="385"/>
      <c r="D68" s="50"/>
      <c r="E68" s="50"/>
      <c r="F68" s="50"/>
      <c r="G68" s="50"/>
      <c r="H68" s="50"/>
      <c r="I68" s="50"/>
      <c r="J68" s="50"/>
      <c r="K68" s="50"/>
      <c r="L68" s="50"/>
      <c r="M68" s="79"/>
      <c r="N68" s="23"/>
      <c r="O68" s="218"/>
    </row>
    <row r="69" spans="1:15" s="69" customFormat="1" ht="12.75" x14ac:dyDescent="0.2">
      <c r="A69" s="39" t="s">
        <v>328</v>
      </c>
      <c r="B69" s="268" t="s">
        <v>190</v>
      </c>
      <c r="C69" s="325"/>
      <c r="D69" s="191">
        <v>0</v>
      </c>
      <c r="E69" s="192">
        <v>0</v>
      </c>
      <c r="F69" s="193">
        <v>0</v>
      </c>
      <c r="G69" s="192">
        <v>0</v>
      </c>
      <c r="H69" s="193">
        <v>0</v>
      </c>
      <c r="I69" s="192">
        <v>0</v>
      </c>
      <c r="J69" s="193">
        <v>0</v>
      </c>
      <c r="K69" s="192">
        <v>0</v>
      </c>
      <c r="L69" s="193">
        <v>0</v>
      </c>
      <c r="M69" s="194">
        <v>0</v>
      </c>
      <c r="N69" s="12"/>
      <c r="O69" s="215">
        <f>SUM(D69:M69)</f>
        <v>0</v>
      </c>
    </row>
    <row r="70" spans="1:15" s="69" customFormat="1" ht="12.75" x14ac:dyDescent="0.2">
      <c r="A70" s="44" t="s">
        <v>329</v>
      </c>
      <c r="B70" s="267" t="s">
        <v>190</v>
      </c>
      <c r="C70" s="324"/>
      <c r="D70" s="195">
        <v>0</v>
      </c>
      <c r="E70" s="196">
        <v>0</v>
      </c>
      <c r="F70" s="197">
        <v>0</v>
      </c>
      <c r="G70" s="196">
        <v>0</v>
      </c>
      <c r="H70" s="197">
        <v>0</v>
      </c>
      <c r="I70" s="196">
        <v>0</v>
      </c>
      <c r="J70" s="197">
        <v>0</v>
      </c>
      <c r="K70" s="196">
        <v>0</v>
      </c>
      <c r="L70" s="197">
        <v>0</v>
      </c>
      <c r="M70" s="198">
        <v>0</v>
      </c>
      <c r="N70" s="12"/>
      <c r="O70" s="216">
        <f>SUM(D70:M70)</f>
        <v>0</v>
      </c>
    </row>
    <row r="71" spans="1:15" s="69" customFormat="1" ht="12.75" x14ac:dyDescent="0.2">
      <c r="A71" s="44" t="s">
        <v>330</v>
      </c>
      <c r="B71" s="267" t="s">
        <v>190</v>
      </c>
      <c r="C71" s="324"/>
      <c r="D71" s="195">
        <v>0</v>
      </c>
      <c r="E71" s="196">
        <v>0</v>
      </c>
      <c r="F71" s="197">
        <v>0</v>
      </c>
      <c r="G71" s="196">
        <v>0</v>
      </c>
      <c r="H71" s="197">
        <v>0</v>
      </c>
      <c r="I71" s="196">
        <v>0</v>
      </c>
      <c r="J71" s="197">
        <v>0</v>
      </c>
      <c r="K71" s="196">
        <v>0</v>
      </c>
      <c r="L71" s="197">
        <v>0</v>
      </c>
      <c r="M71" s="198">
        <v>0</v>
      </c>
      <c r="N71" s="12"/>
      <c r="O71" s="216">
        <f>SUM(D71:M71)</f>
        <v>0</v>
      </c>
    </row>
    <row r="72" spans="1:15" s="69" customFormat="1" ht="12.75" x14ac:dyDescent="0.2">
      <c r="A72" s="44" t="s">
        <v>331</v>
      </c>
      <c r="B72" s="267" t="s">
        <v>190</v>
      </c>
      <c r="C72" s="324"/>
      <c r="D72" s="195">
        <v>0</v>
      </c>
      <c r="E72" s="196">
        <v>0</v>
      </c>
      <c r="F72" s="197">
        <v>0</v>
      </c>
      <c r="G72" s="196">
        <v>0</v>
      </c>
      <c r="H72" s="197">
        <v>0</v>
      </c>
      <c r="I72" s="196">
        <v>0</v>
      </c>
      <c r="J72" s="197">
        <v>0</v>
      </c>
      <c r="K72" s="196">
        <v>0</v>
      </c>
      <c r="L72" s="197">
        <v>0</v>
      </c>
      <c r="M72" s="198">
        <v>0</v>
      </c>
      <c r="N72" s="12"/>
      <c r="O72" s="216">
        <f>SUM(D72:M72)</f>
        <v>0</v>
      </c>
    </row>
    <row r="73" spans="1:15" s="69" customFormat="1" ht="12.75" x14ac:dyDescent="0.2">
      <c r="A73" s="44" t="s">
        <v>332</v>
      </c>
      <c r="B73" s="267" t="s">
        <v>190</v>
      </c>
      <c r="C73" s="324"/>
      <c r="D73" s="195">
        <v>0</v>
      </c>
      <c r="E73" s="196">
        <v>0</v>
      </c>
      <c r="F73" s="197">
        <v>0</v>
      </c>
      <c r="G73" s="196">
        <v>0</v>
      </c>
      <c r="H73" s="197">
        <v>0</v>
      </c>
      <c r="I73" s="196">
        <v>0</v>
      </c>
      <c r="J73" s="197">
        <v>0</v>
      </c>
      <c r="K73" s="196">
        <v>0</v>
      </c>
      <c r="L73" s="197">
        <v>0</v>
      </c>
      <c r="M73" s="198">
        <v>0</v>
      </c>
      <c r="N73" s="12"/>
      <c r="O73" s="216">
        <f>SUM(D73:M73)</f>
        <v>0</v>
      </c>
    </row>
    <row r="74" spans="1:15" s="69" customFormat="1" ht="12.75" x14ac:dyDescent="0.2">
      <c r="A74" s="38"/>
      <c r="B74" s="38"/>
      <c r="C74" s="648"/>
      <c r="D74" s="649"/>
      <c r="E74" s="650"/>
      <c r="F74" s="651"/>
      <c r="G74" s="650"/>
      <c r="H74" s="651"/>
      <c r="I74" s="650"/>
      <c r="J74" s="651"/>
      <c r="K74" s="650"/>
      <c r="L74" s="651"/>
      <c r="M74" s="652"/>
      <c r="N74" s="12"/>
      <c r="O74" s="216"/>
    </row>
    <row r="75" spans="1:15" s="69" customFormat="1" ht="15" x14ac:dyDescent="0.25">
      <c r="A75" s="91" t="s">
        <v>333</v>
      </c>
      <c r="B75" s="91" t="s">
        <v>189</v>
      </c>
      <c r="C75" s="313"/>
      <c r="D75" s="60">
        <f>SUM(D69:D74)</f>
        <v>0</v>
      </c>
      <c r="E75" s="61">
        <f t="shared" ref="E75:M75" si="12">SUM(E69:E74)</f>
        <v>0</v>
      </c>
      <c r="F75" s="61">
        <f t="shared" si="12"/>
        <v>0</v>
      </c>
      <c r="G75" s="61">
        <f t="shared" si="12"/>
        <v>0</v>
      </c>
      <c r="H75" s="61">
        <f t="shared" si="12"/>
        <v>0</v>
      </c>
      <c r="I75" s="61">
        <f t="shared" si="12"/>
        <v>0</v>
      </c>
      <c r="J75" s="61">
        <f t="shared" si="12"/>
        <v>0</v>
      </c>
      <c r="K75" s="61">
        <f t="shared" si="12"/>
        <v>0</v>
      </c>
      <c r="L75" s="61">
        <f t="shared" si="12"/>
        <v>0</v>
      </c>
      <c r="M75" s="62">
        <f t="shared" si="12"/>
        <v>0</v>
      </c>
      <c r="N75" s="8"/>
      <c r="O75" s="65">
        <f>SUM(O69:O74)</f>
        <v>0</v>
      </c>
    </row>
    <row r="76" spans="1:15" s="69" customFormat="1" ht="17.25" customHeight="1" x14ac:dyDescent="0.25">
      <c r="A76" s="87" t="s">
        <v>334</v>
      </c>
      <c r="B76" s="87" t="s">
        <v>179</v>
      </c>
      <c r="C76" s="314"/>
      <c r="D76" s="85">
        <f>D56+D67+D75</f>
        <v>0</v>
      </c>
      <c r="E76" s="85">
        <f>E56+E67+E75</f>
        <v>0</v>
      </c>
      <c r="F76" s="85">
        <f t="shared" ref="F76:L76" si="13">F56+F67+F75</f>
        <v>75927884.615384623</v>
      </c>
      <c r="G76" s="85">
        <f t="shared" si="13"/>
        <v>75927884.615384623</v>
      </c>
      <c r="H76" s="85">
        <f t="shared" si="13"/>
        <v>75927884.615384623</v>
      </c>
      <c r="I76" s="85">
        <f t="shared" si="13"/>
        <v>75927884.615384623</v>
      </c>
      <c r="J76" s="85">
        <f t="shared" si="13"/>
        <v>75927884.615384623</v>
      </c>
      <c r="K76" s="85">
        <f t="shared" si="13"/>
        <v>75927884.615384623</v>
      </c>
      <c r="L76" s="85">
        <f t="shared" si="13"/>
        <v>75927884.615384623</v>
      </c>
      <c r="M76" s="63">
        <f>M56+M67+M75</f>
        <v>75927884.615384623</v>
      </c>
      <c r="N76" s="16"/>
      <c r="O76" s="65">
        <f>O56+O67+O75</f>
        <v>607423076.92307699</v>
      </c>
    </row>
    <row r="77" spans="1:15" s="69" customFormat="1" ht="17.25" customHeight="1" thickBot="1" x14ac:dyDescent="0.3">
      <c r="A77" s="88" t="s">
        <v>181</v>
      </c>
      <c r="B77" s="88" t="s">
        <v>180</v>
      </c>
      <c r="C77" s="315"/>
      <c r="D77" s="86">
        <f>D76</f>
        <v>0</v>
      </c>
      <c r="E77" s="66">
        <f t="shared" ref="E77:M77" si="14">D77+E76</f>
        <v>0</v>
      </c>
      <c r="F77" s="66">
        <f>E77+F76</f>
        <v>75927884.615384623</v>
      </c>
      <c r="G77" s="66">
        <f t="shared" si="14"/>
        <v>151855769.23076925</v>
      </c>
      <c r="H77" s="66">
        <f t="shared" si="14"/>
        <v>227783653.84615386</v>
      </c>
      <c r="I77" s="66">
        <f t="shared" si="14"/>
        <v>303711538.46153849</v>
      </c>
      <c r="J77" s="66">
        <f t="shared" si="14"/>
        <v>379639423.07692313</v>
      </c>
      <c r="K77" s="66">
        <f t="shared" si="14"/>
        <v>455567307.69230777</v>
      </c>
      <c r="L77" s="66">
        <f t="shared" si="14"/>
        <v>531495192.30769241</v>
      </c>
      <c r="M77" s="67">
        <f t="shared" si="14"/>
        <v>607423076.92307699</v>
      </c>
      <c r="N77" s="16"/>
      <c r="O77" s="64">
        <f>M77</f>
        <v>607423076.92307699</v>
      </c>
    </row>
    <row r="78" spans="1:15" s="69" customFormat="1" ht="20.25" x14ac:dyDescent="0.2">
      <c r="A78" s="5"/>
      <c r="B78" s="5"/>
      <c r="C78" s="327"/>
      <c r="D78" s="72"/>
      <c r="E78" s="72"/>
      <c r="F78" s="72"/>
      <c r="G78" s="72"/>
      <c r="I78" s="70"/>
      <c r="J78" s="73"/>
      <c r="O78" s="71"/>
    </row>
    <row r="79" spans="1:15" x14ac:dyDescent="0.2">
      <c r="O79" s="8"/>
    </row>
    <row r="80" spans="1:15" x14ac:dyDescent="0.2">
      <c r="A80" s="104"/>
      <c r="B80" s="104"/>
      <c r="C80" s="104"/>
      <c r="O80" s="8"/>
    </row>
    <row r="81" spans="1:15" x14ac:dyDescent="0.2">
      <c r="A81" s="104"/>
      <c r="B81" s="104"/>
      <c r="C81" s="104"/>
      <c r="O81" s="8"/>
    </row>
    <row r="82" spans="1:15" x14ac:dyDescent="0.2">
      <c r="O82" s="8"/>
    </row>
    <row r="83" spans="1:15" x14ac:dyDescent="0.2">
      <c r="O83" s="8"/>
    </row>
    <row r="84" spans="1:15" s="16" customFormat="1" x14ac:dyDescent="0.2"/>
    <row r="85" spans="1:15" s="16" customFormat="1" x14ac:dyDescent="0.2"/>
    <row r="86" spans="1:15" x14ac:dyDescent="0.2">
      <c r="O86" s="8"/>
    </row>
    <row r="87" spans="1:15" s="12" customFormat="1" ht="12.75" x14ac:dyDescent="0.2"/>
    <row r="88" spans="1:15" ht="15" x14ac:dyDescent="0.25">
      <c r="D88" s="17"/>
      <c r="E88" s="17"/>
      <c r="F88" s="17"/>
      <c r="G88" s="17"/>
      <c r="H88" s="17"/>
      <c r="I88" s="17"/>
      <c r="J88" s="17"/>
      <c r="K88" s="17"/>
      <c r="L88" s="17"/>
      <c r="M88" s="17"/>
    </row>
    <row r="89" spans="1:15" x14ac:dyDescent="0.2">
      <c r="A89" s="9"/>
      <c r="B89" s="9"/>
      <c r="C89" s="9"/>
      <c r="D89" s="18"/>
    </row>
    <row r="90" spans="1:15" x14ac:dyDescent="0.2">
      <c r="A90" s="9"/>
      <c r="B90" s="9"/>
      <c r="C90" s="9"/>
    </row>
    <row r="91" spans="1:15" x14ac:dyDescent="0.2">
      <c r="A91" s="9"/>
      <c r="B91" s="9"/>
      <c r="C91" s="9"/>
    </row>
    <row r="92" spans="1:15" x14ac:dyDescent="0.2">
      <c r="A92" s="9"/>
      <c r="B92" s="9"/>
      <c r="C92" s="9"/>
    </row>
    <row r="93" spans="1:15" x14ac:dyDescent="0.2">
      <c r="A93" s="9"/>
      <c r="B93" s="9"/>
      <c r="C93" s="9"/>
    </row>
    <row r="94" spans="1:15" x14ac:dyDescent="0.2">
      <c r="A94" s="9"/>
      <c r="B94" s="9"/>
      <c r="C94" s="9"/>
    </row>
    <row r="95" spans="1:15" x14ac:dyDescent="0.2">
      <c r="A95" s="9"/>
      <c r="B95" s="9"/>
      <c r="C95" s="9"/>
    </row>
    <row r="131" spans="1:3" x14ac:dyDescent="0.2">
      <c r="A131" s="9"/>
      <c r="B131" s="9"/>
      <c r="C131" s="9"/>
    </row>
    <row r="132" spans="1:3" x14ac:dyDescent="0.2">
      <c r="A132" s="9"/>
      <c r="B132" s="9"/>
      <c r="C132" s="9"/>
    </row>
    <row r="133" spans="1:3" x14ac:dyDescent="0.2">
      <c r="A133" s="9"/>
      <c r="B133" s="9"/>
      <c r="C133" s="9"/>
    </row>
    <row r="134" spans="1:3" x14ac:dyDescent="0.2">
      <c r="A134" s="9"/>
      <c r="B134" s="9"/>
      <c r="C134" s="9"/>
    </row>
    <row r="135" spans="1:3" x14ac:dyDescent="0.2">
      <c r="A135" s="9"/>
      <c r="B135" s="9"/>
      <c r="C135" s="9"/>
    </row>
    <row r="136" spans="1:3" x14ac:dyDescent="0.2">
      <c r="A136" s="9"/>
      <c r="B136" s="9"/>
      <c r="C136" s="9"/>
    </row>
    <row r="137" spans="1:3" x14ac:dyDescent="0.2">
      <c r="A137" s="9"/>
      <c r="B137" s="9"/>
      <c r="C137" s="9"/>
    </row>
    <row r="138" spans="1:3" x14ac:dyDescent="0.2">
      <c r="A138" s="9"/>
      <c r="B138" s="9"/>
      <c r="C138" s="9"/>
    </row>
    <row r="139" spans="1:3" x14ac:dyDescent="0.2">
      <c r="A139" s="9"/>
      <c r="B139" s="9"/>
      <c r="C139" s="9"/>
    </row>
    <row r="140" spans="1:3" x14ac:dyDescent="0.2">
      <c r="A140" s="9"/>
      <c r="B140" s="9"/>
      <c r="C140" s="9"/>
    </row>
    <row r="141" spans="1:3" x14ac:dyDescent="0.2">
      <c r="A141" s="9"/>
      <c r="B141" s="9"/>
      <c r="C141" s="9"/>
    </row>
    <row r="142" spans="1:3" x14ac:dyDescent="0.2">
      <c r="A142" s="9"/>
      <c r="B142" s="9"/>
      <c r="C142" s="9"/>
    </row>
    <row r="143" spans="1:3" x14ac:dyDescent="0.2">
      <c r="A143" s="9"/>
      <c r="B143" s="9"/>
      <c r="C143" s="9"/>
    </row>
    <row r="144" spans="1:3" x14ac:dyDescent="0.2">
      <c r="A144" s="9"/>
      <c r="B144" s="9"/>
      <c r="C144" s="9"/>
    </row>
    <row r="145" spans="1:3" x14ac:dyDescent="0.2">
      <c r="A145" s="9"/>
      <c r="B145" s="9"/>
      <c r="C145" s="9"/>
    </row>
    <row r="146" spans="1:3" x14ac:dyDescent="0.2">
      <c r="A146" s="9"/>
      <c r="B146" s="9"/>
      <c r="C146" s="9"/>
    </row>
    <row r="147" spans="1:3" x14ac:dyDescent="0.2">
      <c r="A147" s="9"/>
      <c r="B147" s="9"/>
      <c r="C147" s="9"/>
    </row>
    <row r="148" spans="1:3" x14ac:dyDescent="0.2">
      <c r="A148" s="9"/>
      <c r="B148" s="9"/>
      <c r="C148" s="9"/>
    </row>
    <row r="149" spans="1:3" x14ac:dyDescent="0.2">
      <c r="A149" s="9"/>
      <c r="B149" s="9"/>
      <c r="C149" s="9"/>
    </row>
    <row r="150" spans="1:3" x14ac:dyDescent="0.2">
      <c r="A150" s="9"/>
      <c r="B150" s="9"/>
      <c r="C150" s="9"/>
    </row>
    <row r="151" spans="1:3" x14ac:dyDescent="0.2">
      <c r="A151" s="9"/>
      <c r="B151" s="9"/>
      <c r="C151" s="9"/>
    </row>
    <row r="152" spans="1:3" x14ac:dyDescent="0.2">
      <c r="A152" s="9"/>
      <c r="B152" s="9"/>
      <c r="C152" s="9"/>
    </row>
    <row r="153" spans="1:3" x14ac:dyDescent="0.2">
      <c r="A153" s="9"/>
      <c r="B153" s="9"/>
      <c r="C153" s="9"/>
    </row>
    <row r="154" spans="1:3" x14ac:dyDescent="0.2">
      <c r="A154" s="9"/>
      <c r="B154" s="9"/>
      <c r="C154" s="9"/>
    </row>
    <row r="155" spans="1:3" x14ac:dyDescent="0.2">
      <c r="A155" s="9"/>
      <c r="B155" s="9"/>
      <c r="C155" s="9"/>
    </row>
    <row r="156" spans="1:3" x14ac:dyDescent="0.2">
      <c r="A156" s="9"/>
      <c r="B156" s="9"/>
      <c r="C156" s="9"/>
    </row>
    <row r="157" spans="1:3" x14ac:dyDescent="0.2">
      <c r="A157" s="9"/>
      <c r="B157" s="9"/>
      <c r="C157" s="9"/>
    </row>
    <row r="158" spans="1:3" x14ac:dyDescent="0.2">
      <c r="A158" s="9"/>
      <c r="B158" s="9"/>
      <c r="C158" s="9"/>
    </row>
    <row r="159" spans="1:3" x14ac:dyDescent="0.2">
      <c r="A159" s="9"/>
      <c r="B159" s="9"/>
      <c r="C159" s="9"/>
    </row>
    <row r="160" spans="1:3" x14ac:dyDescent="0.2">
      <c r="A160" s="9"/>
      <c r="B160" s="9"/>
      <c r="C160" s="9"/>
    </row>
    <row r="161" spans="1:3" x14ac:dyDescent="0.2">
      <c r="A161" s="9"/>
      <c r="B161" s="9"/>
      <c r="C161" s="9"/>
    </row>
    <row r="162" spans="1:3" x14ac:dyDescent="0.2">
      <c r="A162" s="9"/>
      <c r="B162" s="9"/>
      <c r="C162" s="9"/>
    </row>
    <row r="163" spans="1:3" x14ac:dyDescent="0.2">
      <c r="A163" s="9"/>
      <c r="B163" s="9"/>
      <c r="C163" s="9"/>
    </row>
    <row r="164" spans="1:3" x14ac:dyDescent="0.2">
      <c r="A164" s="9"/>
      <c r="B164" s="9"/>
      <c r="C164" s="9"/>
    </row>
    <row r="165" spans="1:3" x14ac:dyDescent="0.2">
      <c r="A165" s="9"/>
      <c r="B165" s="9"/>
      <c r="C165" s="9"/>
    </row>
    <row r="166" spans="1:3" x14ac:dyDescent="0.2">
      <c r="A166" s="9"/>
      <c r="B166" s="9"/>
      <c r="C166" s="9"/>
    </row>
    <row r="167" spans="1:3" x14ac:dyDescent="0.2">
      <c r="A167" s="9"/>
      <c r="B167" s="9"/>
      <c r="C167" s="9"/>
    </row>
    <row r="168" spans="1:3" x14ac:dyDescent="0.2">
      <c r="A168" s="9"/>
      <c r="B168" s="9"/>
      <c r="C168" s="9"/>
    </row>
    <row r="169" spans="1:3" x14ac:dyDescent="0.2">
      <c r="A169" s="9"/>
      <c r="B169" s="9"/>
      <c r="C169" s="9"/>
    </row>
    <row r="170" spans="1:3" x14ac:dyDescent="0.2">
      <c r="A170" s="9"/>
      <c r="B170" s="9"/>
      <c r="C170" s="9"/>
    </row>
    <row r="171" spans="1:3" x14ac:dyDescent="0.2">
      <c r="A171" s="9"/>
      <c r="B171" s="9"/>
      <c r="C171" s="9"/>
    </row>
    <row r="172" spans="1:3" x14ac:dyDescent="0.2">
      <c r="A172" s="9"/>
      <c r="B172" s="9"/>
      <c r="C172" s="9"/>
    </row>
    <row r="173" spans="1:3" x14ac:dyDescent="0.2">
      <c r="A173" s="9"/>
      <c r="B173" s="9"/>
      <c r="C173" s="9"/>
    </row>
    <row r="174" spans="1:3" x14ac:dyDescent="0.2">
      <c r="A174" s="9"/>
      <c r="B174" s="9"/>
      <c r="C174" s="9"/>
    </row>
    <row r="175" spans="1:3" x14ac:dyDescent="0.2">
      <c r="A175" s="9"/>
      <c r="B175" s="9"/>
      <c r="C175" s="9"/>
    </row>
    <row r="176" spans="1:3" x14ac:dyDescent="0.2">
      <c r="A176" s="9"/>
      <c r="B176" s="9"/>
      <c r="C176" s="9"/>
    </row>
    <row r="177" spans="1:3" x14ac:dyDescent="0.2">
      <c r="A177" s="9"/>
      <c r="B177" s="9"/>
      <c r="C177" s="9"/>
    </row>
    <row r="178" spans="1:3" x14ac:dyDescent="0.2">
      <c r="A178" s="9"/>
      <c r="B178" s="9"/>
      <c r="C178" s="9"/>
    </row>
    <row r="179" spans="1:3" x14ac:dyDescent="0.2">
      <c r="A179" s="9"/>
      <c r="B179" s="9"/>
      <c r="C179" s="9"/>
    </row>
    <row r="180" spans="1:3" x14ac:dyDescent="0.2">
      <c r="A180" s="9"/>
      <c r="B180" s="9"/>
      <c r="C180" s="9"/>
    </row>
    <row r="181" spans="1:3" x14ac:dyDescent="0.2">
      <c r="A181" s="9"/>
      <c r="B181" s="9"/>
      <c r="C181" s="9"/>
    </row>
    <row r="182" spans="1:3" x14ac:dyDescent="0.2">
      <c r="A182" s="9"/>
      <c r="B182" s="9"/>
      <c r="C182" s="9"/>
    </row>
    <row r="183" spans="1:3" x14ac:dyDescent="0.2">
      <c r="A183" s="9"/>
      <c r="B183" s="9"/>
      <c r="C183" s="9"/>
    </row>
    <row r="184" spans="1:3" x14ac:dyDescent="0.2">
      <c r="A184" s="9"/>
      <c r="B184" s="9"/>
      <c r="C184" s="9"/>
    </row>
    <row r="185" spans="1:3" x14ac:dyDescent="0.2">
      <c r="A185" s="9"/>
      <c r="B185" s="9"/>
      <c r="C185" s="9"/>
    </row>
    <row r="186" spans="1:3" x14ac:dyDescent="0.2">
      <c r="A186" s="9"/>
      <c r="B186" s="9"/>
      <c r="C186" s="9"/>
    </row>
    <row r="187" spans="1:3" x14ac:dyDescent="0.2">
      <c r="A187" s="9"/>
      <c r="B187" s="9"/>
      <c r="C187" s="9"/>
    </row>
    <row r="188" spans="1:3" x14ac:dyDescent="0.2">
      <c r="A188" s="9"/>
      <c r="B188" s="9"/>
      <c r="C188" s="9"/>
    </row>
    <row r="189" spans="1:3" x14ac:dyDescent="0.2">
      <c r="A189" s="9"/>
      <c r="B189" s="9"/>
      <c r="C189" s="9"/>
    </row>
    <row r="190" spans="1:3" x14ac:dyDescent="0.2">
      <c r="A190" s="9"/>
      <c r="B190" s="9"/>
      <c r="C190" s="9"/>
    </row>
    <row r="191" spans="1:3" x14ac:dyDescent="0.2">
      <c r="A191" s="9"/>
      <c r="B191" s="9"/>
      <c r="C191" s="9"/>
    </row>
    <row r="192" spans="1:3" x14ac:dyDescent="0.2">
      <c r="A192" s="9"/>
      <c r="B192" s="9"/>
      <c r="C192" s="9"/>
    </row>
    <row r="193" spans="1:3" x14ac:dyDescent="0.2">
      <c r="A193" s="9"/>
      <c r="B193" s="9"/>
      <c r="C193" s="9"/>
    </row>
    <row r="194" spans="1:3" x14ac:dyDescent="0.2">
      <c r="A194" s="9"/>
      <c r="B194" s="9"/>
      <c r="C194" s="9"/>
    </row>
    <row r="195" spans="1:3" x14ac:dyDescent="0.2">
      <c r="A195" s="9"/>
      <c r="B195" s="9"/>
      <c r="C195" s="9"/>
    </row>
    <row r="196" spans="1:3" x14ac:dyDescent="0.2">
      <c r="A196" s="9"/>
      <c r="B196" s="9"/>
      <c r="C196" s="9"/>
    </row>
    <row r="197" spans="1:3" x14ac:dyDescent="0.2">
      <c r="A197" s="9"/>
      <c r="B197" s="9"/>
      <c r="C197" s="9"/>
    </row>
    <row r="198" spans="1:3" x14ac:dyDescent="0.2">
      <c r="A198" s="9"/>
      <c r="B198" s="9"/>
      <c r="C198" s="9"/>
    </row>
    <row r="199" spans="1:3" x14ac:dyDescent="0.2">
      <c r="A199" s="9"/>
      <c r="B199" s="9"/>
      <c r="C199" s="9"/>
    </row>
    <row r="200" spans="1:3" x14ac:dyDescent="0.2">
      <c r="A200" s="9"/>
      <c r="B200" s="9"/>
      <c r="C200" s="9"/>
    </row>
    <row r="201" spans="1:3" x14ac:dyDescent="0.2">
      <c r="A201" s="9"/>
      <c r="B201" s="9"/>
      <c r="C201" s="9"/>
    </row>
    <row r="202" spans="1:3" x14ac:dyDescent="0.2">
      <c r="A202" s="9"/>
      <c r="B202" s="9"/>
      <c r="C202" s="9"/>
    </row>
    <row r="203" spans="1:3" x14ac:dyDescent="0.2">
      <c r="A203" s="9"/>
      <c r="B203" s="9"/>
      <c r="C203" s="9"/>
    </row>
    <row r="204" spans="1:3" x14ac:dyDescent="0.2">
      <c r="A204" s="9"/>
      <c r="B204" s="9"/>
      <c r="C204" s="9"/>
    </row>
    <row r="205" spans="1:3" x14ac:dyDescent="0.2">
      <c r="A205" s="9"/>
      <c r="B205" s="9"/>
      <c r="C205" s="9"/>
    </row>
    <row r="206" spans="1:3" x14ac:dyDescent="0.2">
      <c r="A206" s="9"/>
      <c r="B206" s="9"/>
      <c r="C206" s="9"/>
    </row>
    <row r="207" spans="1:3" x14ac:dyDescent="0.2">
      <c r="A207" s="9"/>
      <c r="B207" s="9"/>
      <c r="C207" s="9"/>
    </row>
    <row r="208" spans="1:3" x14ac:dyDescent="0.2">
      <c r="A208" s="9"/>
      <c r="B208" s="9"/>
      <c r="C208" s="9"/>
    </row>
    <row r="209" spans="1:3" x14ac:dyDescent="0.2">
      <c r="A209" s="9"/>
      <c r="B209" s="9"/>
      <c r="C209" s="9"/>
    </row>
    <row r="210" spans="1:3" x14ac:dyDescent="0.2">
      <c r="A210" s="9"/>
      <c r="B210" s="9"/>
      <c r="C210" s="9"/>
    </row>
    <row r="211" spans="1:3" x14ac:dyDescent="0.2">
      <c r="A211" s="9"/>
      <c r="B211" s="9"/>
      <c r="C211" s="9"/>
    </row>
    <row r="212" spans="1:3" x14ac:dyDescent="0.2">
      <c r="A212" s="9"/>
      <c r="B212" s="9"/>
      <c r="C212" s="9"/>
    </row>
    <row r="213" spans="1:3" x14ac:dyDescent="0.2">
      <c r="A213" s="9"/>
      <c r="B213" s="9"/>
      <c r="C213" s="9"/>
    </row>
    <row r="214" spans="1:3" x14ac:dyDescent="0.2">
      <c r="A214" s="9"/>
      <c r="B214" s="9"/>
      <c r="C214" s="9"/>
    </row>
    <row r="215" spans="1:3" x14ac:dyDescent="0.2">
      <c r="A215" s="9"/>
      <c r="B215" s="9"/>
      <c r="C215" s="9"/>
    </row>
    <row r="216" spans="1:3" x14ac:dyDescent="0.2">
      <c r="A216" s="9"/>
      <c r="B216" s="9"/>
      <c r="C216" s="9"/>
    </row>
    <row r="217" spans="1:3" x14ac:dyDescent="0.2">
      <c r="A217" s="9"/>
      <c r="B217" s="9"/>
      <c r="C217" s="9"/>
    </row>
    <row r="218" spans="1:3" x14ac:dyDescent="0.2">
      <c r="A218" s="9"/>
      <c r="B218" s="9"/>
      <c r="C218" s="9"/>
    </row>
    <row r="219" spans="1:3" x14ac:dyDescent="0.2">
      <c r="A219" s="9"/>
      <c r="B219" s="9"/>
      <c r="C219" s="9"/>
    </row>
    <row r="220" spans="1:3" x14ac:dyDescent="0.2">
      <c r="A220" s="9"/>
      <c r="B220" s="9"/>
      <c r="C220" s="9"/>
    </row>
    <row r="221" spans="1:3" x14ac:dyDescent="0.2">
      <c r="A221" s="9"/>
      <c r="B221" s="9"/>
      <c r="C221" s="9"/>
    </row>
    <row r="222" spans="1:3" x14ac:dyDescent="0.2">
      <c r="A222" s="9"/>
      <c r="B222" s="9"/>
      <c r="C222" s="9"/>
    </row>
    <row r="223" spans="1:3" x14ac:dyDescent="0.2">
      <c r="A223" s="9"/>
      <c r="B223" s="9"/>
      <c r="C223" s="9"/>
    </row>
    <row r="224" spans="1:3" x14ac:dyDescent="0.2">
      <c r="A224" s="9"/>
      <c r="B224" s="9"/>
      <c r="C224" s="9"/>
    </row>
    <row r="225" spans="1:3" x14ac:dyDescent="0.2">
      <c r="A225" s="9"/>
      <c r="B225" s="9"/>
      <c r="C225" s="9"/>
    </row>
    <row r="226" spans="1:3" x14ac:dyDescent="0.2">
      <c r="A226" s="9"/>
      <c r="B226" s="9"/>
      <c r="C226" s="9"/>
    </row>
    <row r="227" spans="1:3" x14ac:dyDescent="0.2">
      <c r="A227" s="9"/>
      <c r="B227" s="9"/>
      <c r="C227" s="9"/>
    </row>
    <row r="228" spans="1:3" x14ac:dyDescent="0.2">
      <c r="A228" s="9"/>
      <c r="B228" s="9"/>
      <c r="C228" s="9"/>
    </row>
    <row r="229" spans="1:3" x14ac:dyDescent="0.2">
      <c r="A229" s="9"/>
      <c r="B229" s="9"/>
      <c r="C229" s="9"/>
    </row>
    <row r="230" spans="1:3" x14ac:dyDescent="0.2">
      <c r="A230" s="9"/>
      <c r="B230" s="9"/>
      <c r="C230" s="9"/>
    </row>
    <row r="231" spans="1:3" x14ac:dyDescent="0.2">
      <c r="A231" s="9"/>
      <c r="B231" s="9"/>
      <c r="C231" s="9"/>
    </row>
    <row r="232" spans="1:3" x14ac:dyDescent="0.2">
      <c r="A232" s="9"/>
      <c r="B232" s="9"/>
      <c r="C232" s="9"/>
    </row>
    <row r="233" spans="1:3" x14ac:dyDescent="0.2">
      <c r="A233" s="9"/>
      <c r="B233" s="9"/>
      <c r="C233" s="9"/>
    </row>
    <row r="234" spans="1:3" x14ac:dyDescent="0.2">
      <c r="A234" s="9"/>
      <c r="B234" s="9"/>
      <c r="C234" s="9"/>
    </row>
    <row r="235" spans="1:3" x14ac:dyDescent="0.2">
      <c r="A235" s="9"/>
      <c r="B235" s="9"/>
      <c r="C235" s="9"/>
    </row>
    <row r="236" spans="1:3" x14ac:dyDescent="0.2">
      <c r="A236" s="9"/>
      <c r="B236" s="9"/>
      <c r="C236" s="9"/>
    </row>
    <row r="237" spans="1:3" x14ac:dyDescent="0.2">
      <c r="A237" s="9"/>
      <c r="B237" s="9"/>
      <c r="C237" s="9"/>
    </row>
    <row r="238" spans="1:3" x14ac:dyDescent="0.2">
      <c r="A238" s="9"/>
      <c r="B238" s="9"/>
      <c r="C238" s="9"/>
    </row>
    <row r="239" spans="1:3" x14ac:dyDescent="0.2">
      <c r="A239" s="9"/>
      <c r="B239" s="9"/>
      <c r="C239" s="9"/>
    </row>
    <row r="240" spans="1:3" x14ac:dyDescent="0.2">
      <c r="A240" s="9"/>
      <c r="B240" s="9"/>
      <c r="C240" s="9"/>
    </row>
    <row r="241" spans="1:3" x14ac:dyDescent="0.2">
      <c r="A241" s="9"/>
      <c r="B241" s="9"/>
      <c r="C241" s="9"/>
    </row>
    <row r="242" spans="1:3" x14ac:dyDescent="0.2">
      <c r="A242" s="9"/>
      <c r="B242" s="9"/>
      <c r="C242" s="9"/>
    </row>
    <row r="243" spans="1:3" x14ac:dyDescent="0.2">
      <c r="A243" s="9"/>
      <c r="B243" s="9"/>
      <c r="C243" s="9"/>
    </row>
    <row r="244" spans="1:3" x14ac:dyDescent="0.2">
      <c r="A244" s="9"/>
      <c r="B244" s="9"/>
      <c r="C244" s="9"/>
    </row>
    <row r="245" spans="1:3" x14ac:dyDescent="0.2">
      <c r="A245" s="9"/>
      <c r="B245" s="9"/>
      <c r="C245" s="9"/>
    </row>
    <row r="246" spans="1:3" x14ac:dyDescent="0.2">
      <c r="A246" s="9"/>
      <c r="B246" s="9"/>
      <c r="C246" s="9"/>
    </row>
    <row r="247" spans="1:3" x14ac:dyDescent="0.2">
      <c r="A247" s="9"/>
      <c r="B247" s="9"/>
      <c r="C247" s="9"/>
    </row>
    <row r="248" spans="1:3" x14ac:dyDescent="0.2">
      <c r="A248" s="9"/>
      <c r="B248" s="9"/>
      <c r="C248" s="9"/>
    </row>
    <row r="249" spans="1:3" x14ac:dyDescent="0.2">
      <c r="A249" s="9"/>
      <c r="B249" s="9"/>
      <c r="C249" s="9"/>
    </row>
    <row r="250" spans="1:3" x14ac:dyDescent="0.2">
      <c r="A250" s="9"/>
      <c r="B250" s="9"/>
      <c r="C250" s="9"/>
    </row>
    <row r="251" spans="1:3" x14ac:dyDescent="0.2">
      <c r="A251" s="9"/>
      <c r="B251" s="9"/>
      <c r="C251" s="9"/>
    </row>
    <row r="252" spans="1:3" x14ac:dyDescent="0.2">
      <c r="A252" s="9"/>
      <c r="B252" s="9"/>
      <c r="C252" s="9"/>
    </row>
    <row r="253" spans="1:3" x14ac:dyDescent="0.2">
      <c r="A253" s="9"/>
      <c r="B253" s="9"/>
      <c r="C253" s="9"/>
    </row>
    <row r="254" spans="1:3" x14ac:dyDescent="0.2">
      <c r="A254" s="9"/>
      <c r="B254" s="9"/>
      <c r="C254" s="9"/>
    </row>
    <row r="255" spans="1:3" x14ac:dyDescent="0.2">
      <c r="A255" s="9"/>
      <c r="B255" s="9"/>
      <c r="C255" s="9"/>
    </row>
    <row r="256" spans="1:3" x14ac:dyDescent="0.2">
      <c r="A256" s="9"/>
      <c r="B256" s="9"/>
      <c r="C256" s="9"/>
    </row>
    <row r="257" spans="1:3" x14ac:dyDescent="0.2">
      <c r="A257" s="9"/>
      <c r="B257" s="9"/>
      <c r="C257" s="9"/>
    </row>
    <row r="258" spans="1:3" x14ac:dyDescent="0.2">
      <c r="A258" s="9"/>
      <c r="B258" s="9"/>
      <c r="C258" s="9"/>
    </row>
    <row r="259" spans="1:3" x14ac:dyDescent="0.2">
      <c r="A259" s="9"/>
      <c r="B259" s="9"/>
      <c r="C259" s="9"/>
    </row>
    <row r="260" spans="1:3" x14ac:dyDescent="0.2">
      <c r="A260" s="9"/>
      <c r="B260" s="9"/>
      <c r="C260" s="9"/>
    </row>
    <row r="261" spans="1:3" x14ac:dyDescent="0.2">
      <c r="A261" s="9"/>
      <c r="B261" s="9"/>
      <c r="C261" s="9"/>
    </row>
    <row r="262" spans="1:3" x14ac:dyDescent="0.2">
      <c r="A262" s="9"/>
      <c r="B262" s="9"/>
      <c r="C262" s="9"/>
    </row>
    <row r="263" spans="1:3" x14ac:dyDescent="0.2">
      <c r="A263" s="9"/>
      <c r="B263" s="9"/>
      <c r="C263" s="9"/>
    </row>
    <row r="264" spans="1:3" x14ac:dyDescent="0.2">
      <c r="A264" s="9"/>
      <c r="B264" s="9"/>
      <c r="C264" s="9"/>
    </row>
    <row r="265" spans="1:3" x14ac:dyDescent="0.2">
      <c r="A265" s="9"/>
      <c r="B265" s="9"/>
      <c r="C265" s="9"/>
    </row>
    <row r="266" spans="1:3" x14ac:dyDescent="0.2">
      <c r="A266" s="9"/>
      <c r="B266" s="9"/>
      <c r="C266" s="9"/>
    </row>
    <row r="267" spans="1:3" x14ac:dyDescent="0.2">
      <c r="A267" s="9"/>
      <c r="B267" s="9"/>
      <c r="C267" s="9"/>
    </row>
    <row r="268" spans="1:3" x14ac:dyDescent="0.2">
      <c r="A268" s="9"/>
      <c r="B268" s="9"/>
      <c r="C268" s="9"/>
    </row>
    <row r="269" spans="1:3" x14ac:dyDescent="0.2">
      <c r="A269" s="9"/>
      <c r="B269" s="9"/>
      <c r="C269" s="9"/>
    </row>
    <row r="270" spans="1:3" x14ac:dyDescent="0.2">
      <c r="A270" s="9"/>
      <c r="B270" s="9"/>
      <c r="C270" s="9"/>
    </row>
    <row r="271" spans="1:3" x14ac:dyDescent="0.2">
      <c r="A271" s="9"/>
      <c r="B271" s="9"/>
      <c r="C271" s="9"/>
    </row>
    <row r="272" spans="1:3" x14ac:dyDescent="0.2">
      <c r="A272" s="9"/>
      <c r="B272" s="9"/>
      <c r="C272" s="9"/>
    </row>
    <row r="273" spans="1:3" x14ac:dyDescent="0.2">
      <c r="A273" s="9"/>
      <c r="B273" s="9"/>
      <c r="C273" s="9"/>
    </row>
    <row r="274" spans="1:3" x14ac:dyDescent="0.2">
      <c r="A274" s="9"/>
      <c r="B274" s="9"/>
      <c r="C274" s="9"/>
    </row>
    <row r="275" spans="1:3" x14ac:dyDescent="0.2">
      <c r="A275" s="9"/>
      <c r="B275" s="9"/>
      <c r="C275" s="9"/>
    </row>
    <row r="276" spans="1:3" x14ac:dyDescent="0.2">
      <c r="A276" s="9"/>
      <c r="B276" s="9"/>
      <c r="C276" s="9"/>
    </row>
    <row r="277" spans="1:3" x14ac:dyDescent="0.2">
      <c r="A277" s="9"/>
      <c r="B277" s="9"/>
      <c r="C277" s="9"/>
    </row>
    <row r="278" spans="1:3" x14ac:dyDescent="0.2">
      <c r="A278" s="9"/>
      <c r="B278" s="9"/>
      <c r="C278" s="9"/>
    </row>
    <row r="279" spans="1:3" x14ac:dyDescent="0.2">
      <c r="A279" s="9"/>
      <c r="B279" s="9"/>
      <c r="C279" s="9"/>
    </row>
    <row r="280" spans="1:3" x14ac:dyDescent="0.2">
      <c r="A280" s="9"/>
      <c r="B280" s="9"/>
      <c r="C280" s="9"/>
    </row>
    <row r="281" spans="1:3" x14ac:dyDescent="0.2">
      <c r="A281" s="9"/>
      <c r="B281" s="9"/>
      <c r="C281" s="9"/>
    </row>
    <row r="282" spans="1:3" x14ac:dyDescent="0.2">
      <c r="A282" s="9"/>
      <c r="B282" s="9"/>
      <c r="C282" s="9"/>
    </row>
    <row r="283" spans="1:3" x14ac:dyDescent="0.2">
      <c r="A283" s="9"/>
      <c r="B283" s="9"/>
      <c r="C283" s="9"/>
    </row>
    <row r="284" spans="1:3" x14ac:dyDescent="0.2">
      <c r="A284" s="9"/>
      <c r="B284" s="9"/>
      <c r="C284" s="9"/>
    </row>
    <row r="285" spans="1:3" x14ac:dyDescent="0.2">
      <c r="A285" s="9"/>
      <c r="B285" s="9"/>
      <c r="C285" s="9"/>
    </row>
    <row r="286" spans="1:3" x14ac:dyDescent="0.2">
      <c r="A286" s="9"/>
      <c r="B286" s="9"/>
      <c r="C286" s="9"/>
    </row>
    <row r="287" spans="1:3" x14ac:dyDescent="0.2">
      <c r="A287" s="9"/>
      <c r="B287" s="9"/>
      <c r="C287" s="9"/>
    </row>
    <row r="288" spans="1:3" x14ac:dyDescent="0.2">
      <c r="A288" s="9"/>
      <c r="B288" s="9"/>
      <c r="C288" s="9"/>
    </row>
    <row r="289" spans="1:3" x14ac:dyDescent="0.2">
      <c r="A289" s="9"/>
      <c r="B289" s="9"/>
      <c r="C289" s="9"/>
    </row>
    <row r="290" spans="1:3" x14ac:dyDescent="0.2">
      <c r="A290" s="9"/>
      <c r="B290" s="9"/>
      <c r="C290" s="9"/>
    </row>
    <row r="291" spans="1:3" x14ac:dyDescent="0.2">
      <c r="A291" s="9"/>
      <c r="B291" s="9"/>
      <c r="C291" s="9"/>
    </row>
    <row r="292" spans="1:3" x14ac:dyDescent="0.2">
      <c r="A292" s="9"/>
      <c r="B292" s="9"/>
      <c r="C292" s="9"/>
    </row>
    <row r="293" spans="1:3" x14ac:dyDescent="0.2">
      <c r="A293" s="9"/>
      <c r="B293" s="9"/>
      <c r="C293" s="9"/>
    </row>
    <row r="294" spans="1:3" x14ac:dyDescent="0.2">
      <c r="A294" s="9"/>
      <c r="B294" s="9"/>
      <c r="C294" s="9"/>
    </row>
    <row r="295" spans="1:3" x14ac:dyDescent="0.2">
      <c r="A295" s="9"/>
      <c r="B295" s="9"/>
      <c r="C295" s="9"/>
    </row>
    <row r="296" spans="1:3" x14ac:dyDescent="0.2">
      <c r="A296" s="9"/>
      <c r="B296" s="9"/>
      <c r="C296" s="9"/>
    </row>
    <row r="297" spans="1:3" x14ac:dyDescent="0.2">
      <c r="A297" s="9"/>
      <c r="B297" s="9"/>
      <c r="C297" s="9"/>
    </row>
    <row r="298" spans="1:3" x14ac:dyDescent="0.2">
      <c r="A298" s="9"/>
      <c r="B298" s="9"/>
      <c r="C298" s="9"/>
    </row>
    <row r="299" spans="1:3" x14ac:dyDescent="0.2">
      <c r="A299" s="9"/>
      <c r="B299" s="9"/>
      <c r="C299" s="9"/>
    </row>
    <row r="300" spans="1:3" x14ac:dyDescent="0.2">
      <c r="A300" s="9"/>
      <c r="B300" s="9"/>
      <c r="C300" s="9"/>
    </row>
    <row r="301" spans="1:3" x14ac:dyDescent="0.2">
      <c r="A301" s="9"/>
      <c r="B301" s="9"/>
      <c r="C301" s="9"/>
    </row>
    <row r="302" spans="1:3" x14ac:dyDescent="0.2">
      <c r="A302" s="9"/>
      <c r="B302" s="9"/>
      <c r="C302" s="9"/>
    </row>
    <row r="303" spans="1:3" x14ac:dyDescent="0.2">
      <c r="A303" s="9"/>
      <c r="B303" s="9"/>
      <c r="C303" s="9"/>
    </row>
    <row r="304" spans="1:3" x14ac:dyDescent="0.2">
      <c r="A304" s="9"/>
      <c r="B304" s="9"/>
      <c r="C304" s="9"/>
    </row>
    <row r="305" spans="1:3" x14ac:dyDescent="0.2">
      <c r="A305" s="9"/>
      <c r="B305" s="9"/>
      <c r="C305" s="9"/>
    </row>
    <row r="306" spans="1:3" x14ac:dyDescent="0.2">
      <c r="A306" s="9"/>
      <c r="B306" s="9"/>
      <c r="C306" s="9"/>
    </row>
    <row r="307" spans="1:3" x14ac:dyDescent="0.2">
      <c r="A307" s="9"/>
      <c r="B307" s="9"/>
      <c r="C307" s="9"/>
    </row>
    <row r="308" spans="1:3" x14ac:dyDescent="0.2">
      <c r="A308" s="9"/>
      <c r="B308" s="9"/>
      <c r="C308" s="9"/>
    </row>
    <row r="309" spans="1:3" x14ac:dyDescent="0.2">
      <c r="A309" s="9"/>
      <c r="B309" s="9"/>
      <c r="C309" s="9"/>
    </row>
    <row r="310" spans="1:3" x14ac:dyDescent="0.2">
      <c r="A310" s="9"/>
      <c r="B310" s="9"/>
      <c r="C310" s="9"/>
    </row>
    <row r="311" spans="1:3" x14ac:dyDescent="0.2">
      <c r="A311" s="9"/>
      <c r="B311" s="9"/>
      <c r="C311" s="9"/>
    </row>
    <row r="312" spans="1:3" x14ac:dyDescent="0.2">
      <c r="A312" s="9"/>
      <c r="B312" s="9"/>
      <c r="C312" s="9"/>
    </row>
    <row r="313" spans="1:3" x14ac:dyDescent="0.2">
      <c r="A313" s="9"/>
      <c r="B313" s="9"/>
      <c r="C313" s="9"/>
    </row>
    <row r="314" spans="1:3" x14ac:dyDescent="0.2">
      <c r="A314" s="9"/>
      <c r="B314" s="9"/>
      <c r="C314" s="9"/>
    </row>
    <row r="315" spans="1:3" x14ac:dyDescent="0.2">
      <c r="A315" s="9"/>
      <c r="B315" s="9"/>
      <c r="C315" s="9"/>
    </row>
    <row r="316" spans="1:3" x14ac:dyDescent="0.2">
      <c r="A316" s="9"/>
      <c r="B316" s="9"/>
      <c r="C316" s="9"/>
    </row>
    <row r="317" spans="1:3" x14ac:dyDescent="0.2">
      <c r="A317" s="9"/>
      <c r="B317" s="9"/>
      <c r="C317" s="9"/>
    </row>
    <row r="318" spans="1:3" x14ac:dyDescent="0.2">
      <c r="A318" s="9"/>
      <c r="B318" s="9"/>
      <c r="C318" s="9"/>
    </row>
    <row r="319" spans="1:3" x14ac:dyDescent="0.2">
      <c r="A319" s="9"/>
      <c r="B319" s="9"/>
      <c r="C319" s="9"/>
    </row>
    <row r="320" spans="1:3" x14ac:dyDescent="0.2">
      <c r="A320" s="9"/>
      <c r="B320" s="9"/>
      <c r="C320" s="9"/>
    </row>
    <row r="321" spans="1:3" x14ac:dyDescent="0.2">
      <c r="A321" s="9"/>
      <c r="B321" s="9"/>
      <c r="C321" s="9"/>
    </row>
    <row r="322" spans="1:3" x14ac:dyDescent="0.2">
      <c r="A322" s="9"/>
      <c r="B322" s="9"/>
      <c r="C322" s="9"/>
    </row>
    <row r="323" spans="1:3" x14ac:dyDescent="0.2">
      <c r="A323" s="9"/>
      <c r="B323" s="9"/>
      <c r="C323" s="9"/>
    </row>
    <row r="324" spans="1:3" x14ac:dyDescent="0.2">
      <c r="A324" s="9"/>
      <c r="B324" s="9"/>
      <c r="C324" s="9"/>
    </row>
    <row r="325" spans="1:3" x14ac:dyDescent="0.2">
      <c r="A325" s="9"/>
      <c r="B325" s="9"/>
      <c r="C325" s="9"/>
    </row>
    <row r="326" spans="1:3" x14ac:dyDescent="0.2">
      <c r="A326" s="9"/>
      <c r="B326" s="9"/>
      <c r="C326" s="9"/>
    </row>
    <row r="327" spans="1:3" x14ac:dyDescent="0.2">
      <c r="A327" s="9"/>
      <c r="B327" s="9"/>
      <c r="C327" s="9"/>
    </row>
    <row r="328" spans="1:3" x14ac:dyDescent="0.2">
      <c r="A328" s="9"/>
      <c r="B328" s="9"/>
      <c r="C328" s="9"/>
    </row>
    <row r="329" spans="1:3" x14ac:dyDescent="0.2">
      <c r="A329" s="9"/>
      <c r="B329" s="9"/>
      <c r="C329" s="9"/>
    </row>
    <row r="330" spans="1:3" x14ac:dyDescent="0.2">
      <c r="A330" s="9"/>
      <c r="B330" s="9"/>
      <c r="C330" s="9"/>
    </row>
    <row r="331" spans="1:3" x14ac:dyDescent="0.2">
      <c r="A331" s="9"/>
      <c r="B331" s="9"/>
      <c r="C331" s="9"/>
    </row>
    <row r="332" spans="1:3" x14ac:dyDescent="0.2">
      <c r="A332" s="9"/>
      <c r="B332" s="9"/>
      <c r="C332" s="9"/>
    </row>
    <row r="333" spans="1:3" x14ac:dyDescent="0.2">
      <c r="A333" s="9"/>
      <c r="B333" s="9"/>
      <c r="C333" s="9"/>
    </row>
    <row r="334" spans="1:3" x14ac:dyDescent="0.2">
      <c r="A334" s="9"/>
      <c r="B334" s="9"/>
      <c r="C334" s="9"/>
    </row>
    <row r="335" spans="1:3" x14ac:dyDescent="0.2">
      <c r="A335" s="9"/>
      <c r="B335" s="9"/>
      <c r="C335" s="9"/>
    </row>
    <row r="336" spans="1:3" x14ac:dyDescent="0.2">
      <c r="A336" s="9"/>
      <c r="B336" s="9"/>
      <c r="C336" s="9"/>
    </row>
    <row r="337" spans="1:3" x14ac:dyDescent="0.2">
      <c r="A337" s="9"/>
      <c r="B337" s="9"/>
      <c r="C337" s="9"/>
    </row>
    <row r="338" spans="1:3" x14ac:dyDescent="0.2">
      <c r="A338" s="9"/>
      <c r="B338" s="9"/>
      <c r="C338" s="9"/>
    </row>
    <row r="339" spans="1:3" x14ac:dyDescent="0.2">
      <c r="A339" s="9"/>
      <c r="B339" s="9"/>
      <c r="C339" s="9"/>
    </row>
    <row r="340" spans="1:3" x14ac:dyDescent="0.2">
      <c r="A340" s="9"/>
      <c r="B340" s="9"/>
      <c r="C340" s="9"/>
    </row>
    <row r="341" spans="1:3" x14ac:dyDescent="0.2">
      <c r="A341" s="9"/>
      <c r="B341" s="9"/>
      <c r="C341" s="9"/>
    </row>
    <row r="342" spans="1:3" x14ac:dyDescent="0.2">
      <c r="A342" s="9"/>
      <c r="B342" s="9"/>
      <c r="C342" s="9"/>
    </row>
    <row r="343" spans="1:3" x14ac:dyDescent="0.2">
      <c r="A343" s="9"/>
      <c r="B343" s="9"/>
      <c r="C343" s="9"/>
    </row>
    <row r="344" spans="1:3" x14ac:dyDescent="0.2">
      <c r="A344" s="9"/>
      <c r="B344" s="9"/>
      <c r="C344" s="9"/>
    </row>
    <row r="345" spans="1:3" x14ac:dyDescent="0.2">
      <c r="A345" s="9"/>
      <c r="B345" s="9"/>
      <c r="C345" s="9"/>
    </row>
    <row r="346" spans="1:3" x14ac:dyDescent="0.2">
      <c r="A346" s="9"/>
      <c r="B346" s="9"/>
      <c r="C346" s="9"/>
    </row>
    <row r="347" spans="1:3" x14ac:dyDescent="0.2">
      <c r="A347" s="9"/>
      <c r="B347" s="9"/>
      <c r="C347" s="9"/>
    </row>
    <row r="348" spans="1:3" x14ac:dyDescent="0.2">
      <c r="A348" s="9"/>
      <c r="B348" s="9"/>
      <c r="C348" s="9"/>
    </row>
    <row r="349" spans="1:3" x14ac:dyDescent="0.2">
      <c r="A349" s="9"/>
      <c r="B349" s="9"/>
      <c r="C349" s="9"/>
    </row>
    <row r="350" spans="1:3" x14ac:dyDescent="0.2">
      <c r="A350" s="9"/>
      <c r="B350" s="9"/>
      <c r="C350" s="9"/>
    </row>
    <row r="351" spans="1:3" x14ac:dyDescent="0.2">
      <c r="A351" s="9"/>
      <c r="B351" s="9"/>
      <c r="C351" s="9"/>
    </row>
    <row r="352" spans="1:3" x14ac:dyDescent="0.2">
      <c r="A352" s="9"/>
      <c r="B352" s="9"/>
      <c r="C352" s="9"/>
    </row>
    <row r="353" spans="1:3" x14ac:dyDescent="0.2">
      <c r="A353" s="9"/>
      <c r="B353" s="9"/>
      <c r="C353" s="9"/>
    </row>
    <row r="354" spans="1:3" x14ac:dyDescent="0.2">
      <c r="A354" s="9"/>
      <c r="B354" s="9"/>
      <c r="C354" s="9"/>
    </row>
    <row r="355" spans="1:3" x14ac:dyDescent="0.2">
      <c r="A355" s="9"/>
      <c r="B355" s="9"/>
      <c r="C355" s="9"/>
    </row>
    <row r="356" spans="1:3" x14ac:dyDescent="0.2">
      <c r="A356" s="9"/>
      <c r="B356" s="9"/>
      <c r="C356" s="9"/>
    </row>
    <row r="357" spans="1:3" x14ac:dyDescent="0.2">
      <c r="A357" s="9"/>
      <c r="B357" s="9"/>
      <c r="C357" s="9"/>
    </row>
    <row r="358" spans="1:3" x14ac:dyDescent="0.2">
      <c r="A358" s="9"/>
      <c r="B358" s="9"/>
      <c r="C358" s="9"/>
    </row>
    <row r="359" spans="1:3" x14ac:dyDescent="0.2">
      <c r="A359" s="9"/>
      <c r="B359" s="9"/>
      <c r="C359" s="9"/>
    </row>
    <row r="360" spans="1:3" x14ac:dyDescent="0.2">
      <c r="A360" s="9"/>
      <c r="B360" s="9"/>
      <c r="C360" s="9"/>
    </row>
    <row r="361" spans="1:3" x14ac:dyDescent="0.2">
      <c r="A361" s="9"/>
      <c r="B361" s="9"/>
      <c r="C361" s="9"/>
    </row>
    <row r="362" spans="1:3" x14ac:dyDescent="0.2">
      <c r="A362" s="9"/>
      <c r="B362" s="9"/>
      <c r="C362" s="9"/>
    </row>
    <row r="363" spans="1:3" x14ac:dyDescent="0.2">
      <c r="A363" s="9"/>
      <c r="B363" s="9"/>
      <c r="C363" s="9"/>
    </row>
    <row r="364" spans="1:3" x14ac:dyDescent="0.2">
      <c r="A364" s="9"/>
      <c r="B364" s="9"/>
      <c r="C364" s="9"/>
    </row>
    <row r="365" spans="1:3" x14ac:dyDescent="0.2">
      <c r="A365" s="9"/>
      <c r="B365" s="9"/>
      <c r="C365" s="9"/>
    </row>
    <row r="366" spans="1:3" x14ac:dyDescent="0.2">
      <c r="A366" s="9"/>
      <c r="B366" s="9"/>
      <c r="C366" s="9"/>
    </row>
    <row r="367" spans="1:3" x14ac:dyDescent="0.2">
      <c r="A367" s="9"/>
      <c r="B367" s="9"/>
      <c r="C367" s="9"/>
    </row>
    <row r="368" spans="1:3" x14ac:dyDescent="0.2">
      <c r="A368" s="9"/>
      <c r="B368" s="9"/>
      <c r="C368" s="9"/>
    </row>
    <row r="369" spans="1:3" x14ac:dyDescent="0.2">
      <c r="A369" s="9"/>
      <c r="B369" s="9"/>
      <c r="C369" s="9"/>
    </row>
    <row r="370" spans="1:3" x14ac:dyDescent="0.2">
      <c r="A370" s="9"/>
      <c r="B370" s="9"/>
      <c r="C370" s="9"/>
    </row>
    <row r="371" spans="1:3" x14ac:dyDescent="0.2">
      <c r="A371" s="9"/>
      <c r="B371" s="9"/>
      <c r="C371" s="9"/>
    </row>
    <row r="372" spans="1:3" x14ac:dyDescent="0.2">
      <c r="A372" s="9"/>
      <c r="B372" s="9"/>
      <c r="C372" s="9"/>
    </row>
    <row r="373" spans="1:3" x14ac:dyDescent="0.2">
      <c r="A373" s="9"/>
      <c r="B373" s="9"/>
      <c r="C373" s="9"/>
    </row>
    <row r="374" spans="1:3" x14ac:dyDescent="0.2">
      <c r="A374" s="9"/>
      <c r="B374" s="9"/>
      <c r="C374" s="9"/>
    </row>
    <row r="375" spans="1:3" x14ac:dyDescent="0.2">
      <c r="A375" s="9"/>
      <c r="B375" s="9"/>
      <c r="C375" s="9"/>
    </row>
    <row r="376" spans="1:3" x14ac:dyDescent="0.2">
      <c r="A376" s="9"/>
      <c r="B376" s="9"/>
      <c r="C376" s="9"/>
    </row>
    <row r="377" spans="1:3" x14ac:dyDescent="0.2">
      <c r="A377" s="9"/>
      <c r="B377" s="9"/>
      <c r="C377" s="9"/>
    </row>
    <row r="378" spans="1:3" x14ac:dyDescent="0.2">
      <c r="A378" s="9"/>
      <c r="B378" s="9"/>
      <c r="C378" s="9"/>
    </row>
    <row r="379" spans="1:3" x14ac:dyDescent="0.2">
      <c r="A379" s="9"/>
      <c r="B379" s="9"/>
      <c r="C379" s="9"/>
    </row>
    <row r="380" spans="1:3" x14ac:dyDescent="0.2">
      <c r="A380" s="9"/>
      <c r="B380" s="9"/>
      <c r="C380" s="9"/>
    </row>
    <row r="381" spans="1:3" x14ac:dyDescent="0.2">
      <c r="A381" s="9"/>
      <c r="B381" s="9"/>
      <c r="C381" s="9"/>
    </row>
    <row r="382" spans="1:3" x14ac:dyDescent="0.2">
      <c r="A382" s="9"/>
      <c r="B382" s="9"/>
      <c r="C382" s="9"/>
    </row>
    <row r="383" spans="1:3" x14ac:dyDescent="0.2">
      <c r="A383" s="9"/>
      <c r="B383" s="9"/>
      <c r="C383" s="9"/>
    </row>
    <row r="384" spans="1:3" x14ac:dyDescent="0.2">
      <c r="A384" s="9"/>
      <c r="B384" s="9"/>
      <c r="C384" s="9"/>
    </row>
    <row r="385" spans="1:3" x14ac:dyDescent="0.2">
      <c r="A385" s="9"/>
      <c r="B385" s="9"/>
      <c r="C385" s="9"/>
    </row>
    <row r="386" spans="1:3" x14ac:dyDescent="0.2">
      <c r="A386" s="9"/>
      <c r="B386" s="9"/>
      <c r="C386" s="9"/>
    </row>
    <row r="387" spans="1:3" x14ac:dyDescent="0.2">
      <c r="A387" s="9"/>
      <c r="B387" s="9"/>
      <c r="C387" s="9"/>
    </row>
    <row r="388" spans="1:3" x14ac:dyDescent="0.2">
      <c r="A388" s="9"/>
      <c r="B388" s="9"/>
      <c r="C388" s="9"/>
    </row>
    <row r="389" spans="1:3" x14ac:dyDescent="0.2">
      <c r="A389" s="9"/>
      <c r="B389" s="9"/>
      <c r="C389" s="9"/>
    </row>
    <row r="390" spans="1:3" x14ac:dyDescent="0.2">
      <c r="A390" s="9"/>
      <c r="B390" s="9"/>
      <c r="C390" s="9"/>
    </row>
    <row r="391" spans="1:3" x14ac:dyDescent="0.2">
      <c r="A391" s="9"/>
      <c r="B391" s="9"/>
      <c r="C391" s="9"/>
    </row>
    <row r="392" spans="1:3" x14ac:dyDescent="0.2">
      <c r="A392" s="9"/>
      <c r="B392" s="9"/>
      <c r="C392" s="9"/>
    </row>
    <row r="393" spans="1:3" x14ac:dyDescent="0.2">
      <c r="A393" s="9"/>
      <c r="B393" s="9"/>
      <c r="C393" s="9"/>
    </row>
    <row r="394" spans="1:3" x14ac:dyDescent="0.2">
      <c r="A394" s="9"/>
      <c r="B394" s="9"/>
      <c r="C394" s="9"/>
    </row>
    <row r="395" spans="1:3" x14ac:dyDescent="0.2">
      <c r="A395" s="9"/>
      <c r="B395" s="9"/>
      <c r="C395" s="9"/>
    </row>
    <row r="396" spans="1:3" x14ac:dyDescent="0.2">
      <c r="A396" s="9"/>
      <c r="B396" s="9"/>
      <c r="C396" s="9"/>
    </row>
    <row r="397" spans="1:3" x14ac:dyDescent="0.2">
      <c r="A397" s="9"/>
      <c r="B397" s="9"/>
      <c r="C397" s="9"/>
    </row>
    <row r="398" spans="1:3" x14ac:dyDescent="0.2">
      <c r="A398" s="9"/>
      <c r="B398" s="9"/>
      <c r="C398" s="9"/>
    </row>
    <row r="399" spans="1:3" x14ac:dyDescent="0.2">
      <c r="A399" s="9"/>
      <c r="B399" s="9"/>
      <c r="C399" s="9"/>
    </row>
    <row r="400" spans="1:3" x14ac:dyDescent="0.2">
      <c r="A400" s="9"/>
      <c r="B400" s="9"/>
      <c r="C400" s="9"/>
    </row>
    <row r="401" spans="1:3" x14ac:dyDescent="0.2">
      <c r="A401" s="9"/>
      <c r="B401" s="9"/>
      <c r="C401" s="9"/>
    </row>
    <row r="402" spans="1:3" x14ac:dyDescent="0.2">
      <c r="A402" s="9"/>
      <c r="B402" s="9"/>
      <c r="C402" s="9"/>
    </row>
    <row r="403" spans="1:3" x14ac:dyDescent="0.2">
      <c r="A403" s="9"/>
      <c r="B403" s="9"/>
      <c r="C403" s="9"/>
    </row>
    <row r="404" spans="1:3" x14ac:dyDescent="0.2">
      <c r="A404" s="9"/>
      <c r="B404" s="9"/>
      <c r="C404" s="9"/>
    </row>
    <row r="405" spans="1:3" x14ac:dyDescent="0.2">
      <c r="A405" s="9"/>
      <c r="B405" s="9"/>
      <c r="C405" s="9"/>
    </row>
    <row r="406" spans="1:3" x14ac:dyDescent="0.2">
      <c r="A406" s="9"/>
      <c r="B406" s="9"/>
      <c r="C406" s="9"/>
    </row>
    <row r="407" spans="1:3" x14ac:dyDescent="0.2">
      <c r="A407" s="9"/>
      <c r="B407" s="9"/>
      <c r="C407" s="9"/>
    </row>
    <row r="408" spans="1:3" x14ac:dyDescent="0.2">
      <c r="A408" s="9"/>
      <c r="B408" s="9"/>
      <c r="C408" s="9"/>
    </row>
    <row r="409" spans="1:3" x14ac:dyDescent="0.2">
      <c r="A409" s="9"/>
      <c r="B409" s="9"/>
      <c r="C409" s="9"/>
    </row>
    <row r="410" spans="1:3" x14ac:dyDescent="0.2">
      <c r="A410" s="9"/>
      <c r="B410" s="9"/>
      <c r="C410" s="9"/>
    </row>
    <row r="411" spans="1:3" x14ac:dyDescent="0.2">
      <c r="A411" s="9"/>
      <c r="B411" s="9"/>
      <c r="C411" s="9"/>
    </row>
    <row r="412" spans="1:3" x14ac:dyDescent="0.2">
      <c r="A412" s="9"/>
      <c r="B412" s="9"/>
      <c r="C412" s="9"/>
    </row>
    <row r="413" spans="1:3" x14ac:dyDescent="0.2">
      <c r="A413" s="9"/>
      <c r="B413" s="9"/>
      <c r="C413" s="9"/>
    </row>
    <row r="414" spans="1:3" x14ac:dyDescent="0.2">
      <c r="A414" s="9"/>
      <c r="B414" s="9"/>
      <c r="C414" s="9"/>
    </row>
    <row r="415" spans="1:3" x14ac:dyDescent="0.2">
      <c r="A415" s="9"/>
      <c r="B415" s="9"/>
      <c r="C415" s="9"/>
    </row>
    <row r="416" spans="1:3" x14ac:dyDescent="0.2">
      <c r="A416" s="9"/>
      <c r="B416" s="9"/>
      <c r="C416" s="9"/>
    </row>
    <row r="417" spans="1:3" x14ac:dyDescent="0.2">
      <c r="A417" s="9"/>
      <c r="B417" s="9"/>
      <c r="C417" s="9"/>
    </row>
    <row r="418" spans="1:3" x14ac:dyDescent="0.2">
      <c r="A418" s="9"/>
      <c r="B418" s="9"/>
      <c r="C418" s="9"/>
    </row>
    <row r="419" spans="1:3" x14ac:dyDescent="0.2">
      <c r="A419" s="9"/>
      <c r="B419" s="9"/>
      <c r="C419" s="9"/>
    </row>
    <row r="420" spans="1:3" x14ac:dyDescent="0.2">
      <c r="A420" s="9"/>
      <c r="B420" s="9"/>
      <c r="C420" s="9"/>
    </row>
    <row r="421" spans="1:3" x14ac:dyDescent="0.2">
      <c r="A421" s="9"/>
      <c r="B421" s="9"/>
      <c r="C421" s="9"/>
    </row>
    <row r="422" spans="1:3" x14ac:dyDescent="0.2">
      <c r="A422" s="9"/>
      <c r="B422" s="9"/>
      <c r="C422" s="9"/>
    </row>
    <row r="423" spans="1:3" x14ac:dyDescent="0.2">
      <c r="A423" s="9"/>
      <c r="B423" s="9"/>
      <c r="C423" s="9"/>
    </row>
    <row r="424" spans="1:3" x14ac:dyDescent="0.2">
      <c r="A424" s="9"/>
      <c r="B424" s="9"/>
      <c r="C424" s="9"/>
    </row>
    <row r="425" spans="1:3" x14ac:dyDescent="0.2">
      <c r="A425" s="9"/>
      <c r="B425" s="9"/>
      <c r="C425" s="9"/>
    </row>
    <row r="426" spans="1:3" x14ac:dyDescent="0.2">
      <c r="A426" s="9"/>
      <c r="B426" s="9"/>
      <c r="C426" s="9"/>
    </row>
  </sheetData>
  <customSheetViews>
    <customSheetView guid="{4F1DA828-56A9-4F85-92B4-9F65C862495B}" scale="70" showGridLines="0" fitToPage="1">
      <pane ySplit="2" topLeftCell="A45" activePane="bottomLeft" state="frozen"/>
      <selection pane="bottomLeft" activeCell="H16" sqref="H16"/>
      <rowBreaks count="1" manualBreakCount="1">
        <brk id="42" max="14" man="1"/>
      </rowBreaks>
      <colBreaks count="1" manualBreakCount="1">
        <brk id="1" max="78" man="1"/>
      </colBreaks>
      <pageMargins left="0.5" right="0.5" top="0.65" bottom="0.65" header="0.3" footer="0.26"/>
      <pageSetup paperSize="5" scale="70" fitToHeight="0" orientation="landscape" r:id="rId1"/>
      <headerFooter alignWithMargins="0">
        <oddHeader>&amp;L&amp;10[Agency/Organization Name]
[Project Name]&amp;R&amp;10BUSINESS CASE
[Version Number] [Revision Date]</oddHeader>
        <oddFooter>&amp;L&amp;10Based on
DIR Document 10BC-W1-9&amp;C&amp;10Page &amp;P of &amp;N&amp;R&amp;10Business Justification</oddFooter>
      </headerFooter>
    </customSheetView>
    <customSheetView guid="{7AC71C8E-3F0A-447A-859A-02DD2BAED197}" scale="75" showGridLines="0" fitToPage="1" showRuler="0">
      <selection activeCell="C10" sqref="C10"/>
      <colBreaks count="1" manualBreakCount="1">
        <brk id="1" max="78" man="1"/>
      </colBreaks>
      <pageMargins left="0.54" right="0.75" top="0.77" bottom="0.52" header="0.35" footer="0.26"/>
      <pageSetup paperSize="5" scale="76" fitToHeight="0" orientation="landscape" r:id="rId2"/>
      <headerFooter alignWithMargins="0">
        <oddHeader>&amp;L&amp;10&lt;Agency name&gt; &amp;C&amp;"Arial,Bold"&amp;A&amp;R&amp;10&lt;Project Name&gt;</oddHeader>
        <oddFooter>&amp;L&amp;F&amp;CPage &amp;P of &amp;N&amp;R&amp;D &amp;T</oddFooter>
      </headerFooter>
    </customSheetView>
  </customSheetViews>
  <mergeCells count="1">
    <mergeCell ref="C3:C4"/>
  </mergeCells>
  <phoneticPr fontId="0" type="noConversion"/>
  <pageMargins left="0.5" right="0.5" top="0.65" bottom="0.65" header="0.3" footer="0.26"/>
  <pageSetup scale="99" fitToHeight="0" orientation="landscape" cellComments="asDisplayed" r:id="rId3"/>
  <headerFooter alignWithMargins="0">
    <oddHeader>&amp;L&amp;10[Agency/Organization Name]
[Project Name]&amp;R&amp;10BUSINESS CASE WORKBOOK 
[Version Number] [Revision Date mm/dd/yy]</oddHeader>
    <oddFooter>&amp;L&amp;10Based on DIR Document 10BC-W2-2&amp;C&amp;10&amp;K000000Page &amp;P of &amp;N&amp;R&amp;10Business Justification</oddFooter>
  </headerFooter>
  <rowBreaks count="1" manualBreakCount="1">
    <brk id="42" max="14" man="1"/>
  </rowBreaks>
  <colBreaks count="1" manualBreakCount="1">
    <brk id="1" max="78"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9"/>
  </sheetPr>
  <dimension ref="A1:L76"/>
  <sheetViews>
    <sheetView showGridLines="0" zoomScaleNormal="100" zoomScaleSheetLayoutView="75" workbookViewId="0">
      <pane ySplit="4" topLeftCell="A5" activePane="bottomLeft" state="frozen"/>
      <selection activeCell="E19" sqref="E19"/>
      <selection pane="bottomLeft" activeCell="A2" sqref="A2:H2"/>
    </sheetView>
  </sheetViews>
  <sheetFormatPr defaultColWidth="9" defaultRowHeight="14.25" x14ac:dyDescent="0.2"/>
  <cols>
    <col min="1" max="1" width="5.125" style="100" customWidth="1"/>
    <col min="2" max="2" width="75.875" style="101" customWidth="1"/>
    <col min="3" max="3" width="6.5" style="101" customWidth="1"/>
    <col min="4" max="4" width="4.75" style="102" hidden="1" customWidth="1"/>
    <col min="5" max="7" width="4.75" style="101" hidden="1" customWidth="1"/>
    <col min="8" max="8" width="72.625" style="101" customWidth="1"/>
    <col min="9" max="16384" width="9" style="101"/>
  </cols>
  <sheetData>
    <row r="1" spans="1:12" s="2" customFormat="1" ht="31.5" customHeight="1" x14ac:dyDescent="0.2">
      <c r="A1" s="5" t="s">
        <v>735</v>
      </c>
      <c r="B1" s="14"/>
      <c r="C1" s="14"/>
      <c r="D1" s="14"/>
      <c r="E1" s="14"/>
      <c r="F1" s="14"/>
      <c r="G1" s="14"/>
      <c r="H1" s="14"/>
      <c r="K1" s="8"/>
      <c r="L1" s="15"/>
    </row>
    <row r="2" spans="1:12" ht="23.25" customHeight="1" x14ac:dyDescent="0.2">
      <c r="A2" s="816" t="s">
        <v>348</v>
      </c>
      <c r="B2" s="817"/>
      <c r="C2" s="817"/>
      <c r="D2" s="817"/>
      <c r="E2" s="817"/>
      <c r="F2" s="817"/>
      <c r="G2" s="817"/>
      <c r="H2" s="818"/>
    </row>
    <row r="3" spans="1:12" ht="192.75" customHeight="1" x14ac:dyDescent="0.2">
      <c r="A3" s="819" t="s">
        <v>15</v>
      </c>
      <c r="B3" s="820"/>
      <c r="C3" s="820"/>
      <c r="D3" s="820"/>
      <c r="E3" s="820"/>
      <c r="F3" s="820"/>
      <c r="G3" s="820"/>
      <c r="H3" s="821"/>
    </row>
    <row r="4" spans="1:12" s="164" customFormat="1" ht="34.5" customHeight="1" x14ac:dyDescent="0.2">
      <c r="A4" s="151" t="s">
        <v>280</v>
      </c>
      <c r="B4" s="151" t="s">
        <v>40</v>
      </c>
      <c r="C4" s="151" t="s">
        <v>281</v>
      </c>
      <c r="D4" s="152"/>
      <c r="E4" s="153"/>
      <c r="F4" s="153"/>
      <c r="G4" s="153"/>
      <c r="H4" s="151" t="s">
        <v>92</v>
      </c>
    </row>
    <row r="5" spans="1:12" s="164" customFormat="1" ht="25.5" customHeight="1" x14ac:dyDescent="0.2">
      <c r="A5" s="813" t="s">
        <v>16</v>
      </c>
      <c r="B5" s="814"/>
      <c r="C5" s="814"/>
      <c r="D5" s="814"/>
      <c r="E5" s="814"/>
      <c r="F5" s="814"/>
      <c r="G5" s="814"/>
      <c r="H5" s="815"/>
      <c r="I5" s="164" t="s">
        <v>73</v>
      </c>
      <c r="J5" s="165"/>
    </row>
    <row r="6" spans="1:12" s="248" customFormat="1" ht="25.5" x14ac:dyDescent="0.2">
      <c r="A6" s="250" t="s">
        <v>46</v>
      </c>
      <c r="B6" s="251" t="s">
        <v>397</v>
      </c>
      <c r="C6" s="252">
        <v>3</v>
      </c>
      <c r="D6" s="253" t="s">
        <v>282</v>
      </c>
      <c r="E6" s="253">
        <v>1</v>
      </c>
      <c r="F6" s="253">
        <v>3</v>
      </c>
      <c r="G6" s="253">
        <v>5</v>
      </c>
      <c r="H6" s="254"/>
      <c r="J6" s="249"/>
    </row>
    <row r="7" spans="1:12" s="248" customFormat="1" ht="25.5" x14ac:dyDescent="0.2">
      <c r="A7" s="250" t="s">
        <v>47</v>
      </c>
      <c r="B7" s="251" t="s">
        <v>398</v>
      </c>
      <c r="C7" s="252">
        <v>3</v>
      </c>
      <c r="D7" s="253" t="s">
        <v>282</v>
      </c>
      <c r="E7" s="253">
        <v>1</v>
      </c>
      <c r="F7" s="253">
        <v>3</v>
      </c>
      <c r="G7" s="253">
        <v>5</v>
      </c>
      <c r="H7" s="254"/>
      <c r="J7" s="249"/>
    </row>
    <row r="8" spans="1:12" s="248" customFormat="1" ht="25.5" x14ac:dyDescent="0.2">
      <c r="A8" s="250" t="s">
        <v>48</v>
      </c>
      <c r="B8" s="251" t="s">
        <v>399</v>
      </c>
      <c r="C8" s="252">
        <v>3</v>
      </c>
      <c r="D8" s="253" t="s">
        <v>282</v>
      </c>
      <c r="E8" s="253">
        <v>1</v>
      </c>
      <c r="F8" s="253">
        <v>3</v>
      </c>
      <c r="G8" s="253">
        <v>5</v>
      </c>
      <c r="H8" s="254"/>
      <c r="J8" s="249"/>
    </row>
    <row r="9" spans="1:12" s="248" customFormat="1" x14ac:dyDescent="0.2">
      <c r="A9" s="250" t="s">
        <v>49</v>
      </c>
      <c r="B9" s="251" t="s">
        <v>400</v>
      </c>
      <c r="C9" s="252">
        <v>3</v>
      </c>
      <c r="D9" s="253" t="s">
        <v>282</v>
      </c>
      <c r="E9" s="253">
        <v>1</v>
      </c>
      <c r="F9" s="253">
        <v>3</v>
      </c>
      <c r="G9" s="253">
        <v>5</v>
      </c>
      <c r="H9" s="254"/>
    </row>
    <row r="10" spans="1:12" s="248" customFormat="1" ht="25.5" x14ac:dyDescent="0.2">
      <c r="A10" s="250" t="s">
        <v>50</v>
      </c>
      <c r="B10" s="251" t="s">
        <v>444</v>
      </c>
      <c r="C10" s="252">
        <v>3</v>
      </c>
      <c r="D10" s="253" t="s">
        <v>282</v>
      </c>
      <c r="E10" s="253">
        <v>1</v>
      </c>
      <c r="F10" s="253">
        <v>3</v>
      </c>
      <c r="G10" s="253">
        <v>5</v>
      </c>
      <c r="H10" s="254"/>
    </row>
    <row r="11" spans="1:12" s="248" customFormat="1" ht="25.5" x14ac:dyDescent="0.2">
      <c r="A11" s="250" t="s">
        <v>51</v>
      </c>
      <c r="B11" s="251" t="s">
        <v>401</v>
      </c>
      <c r="C11" s="252">
        <v>3</v>
      </c>
      <c r="D11" s="253" t="s">
        <v>282</v>
      </c>
      <c r="E11" s="253">
        <v>1</v>
      </c>
      <c r="F11" s="253">
        <v>3</v>
      </c>
      <c r="G11" s="253">
        <v>5</v>
      </c>
      <c r="H11" s="254"/>
    </row>
    <row r="12" spans="1:12" s="248" customFormat="1" ht="25.5" x14ac:dyDescent="0.2">
      <c r="A12" s="250" t="s">
        <v>338</v>
      </c>
      <c r="B12" s="251" t="s">
        <v>402</v>
      </c>
      <c r="C12" s="252">
        <v>3</v>
      </c>
      <c r="D12" s="253" t="s">
        <v>282</v>
      </c>
      <c r="E12" s="253">
        <v>1</v>
      </c>
      <c r="F12" s="253">
        <v>3</v>
      </c>
      <c r="G12" s="253">
        <v>5</v>
      </c>
      <c r="H12" s="254"/>
    </row>
    <row r="13" spans="1:12" s="164" customFormat="1" x14ac:dyDescent="0.2">
      <c r="A13" s="258"/>
      <c r="B13" s="259"/>
      <c r="C13" s="260"/>
      <c r="D13" s="266" t="s">
        <v>282</v>
      </c>
      <c r="E13" s="266">
        <v>1</v>
      </c>
      <c r="F13" s="266">
        <v>3</v>
      </c>
      <c r="G13" s="266">
        <v>5</v>
      </c>
      <c r="H13" s="259"/>
    </row>
    <row r="14" spans="1:12" s="164" customFormat="1" ht="25.5" customHeight="1" x14ac:dyDescent="0.25">
      <c r="A14" s="183"/>
      <c r="B14" s="133" t="s">
        <v>44</v>
      </c>
      <c r="C14" s="134">
        <f>SUM(C6:C13)</f>
        <v>21</v>
      </c>
      <c r="D14" s="134"/>
      <c r="E14" s="135"/>
      <c r="F14" s="135"/>
      <c r="G14" s="135"/>
      <c r="H14" s="134"/>
    </row>
    <row r="15" spans="1:12" s="164" customFormat="1" ht="27.75" customHeight="1" x14ac:dyDescent="0.2">
      <c r="A15" s="813" t="s">
        <v>17</v>
      </c>
      <c r="B15" s="814"/>
      <c r="C15" s="814"/>
      <c r="D15" s="814"/>
      <c r="E15" s="814"/>
      <c r="F15" s="814"/>
      <c r="G15" s="814"/>
      <c r="H15" s="815"/>
    </row>
    <row r="16" spans="1:12" s="248" customFormat="1" ht="25.5" x14ac:dyDescent="0.2">
      <c r="A16" s="250" t="s">
        <v>52</v>
      </c>
      <c r="B16" s="251" t="s">
        <v>403</v>
      </c>
      <c r="C16" s="252">
        <v>3</v>
      </c>
      <c r="D16" s="253" t="s">
        <v>282</v>
      </c>
      <c r="E16" s="253">
        <v>1</v>
      </c>
      <c r="F16" s="253">
        <v>3</v>
      </c>
      <c r="G16" s="253">
        <v>5</v>
      </c>
      <c r="H16" s="254"/>
    </row>
    <row r="17" spans="1:8" s="248" customFormat="1" ht="25.5" x14ac:dyDescent="0.2">
      <c r="A17" s="250" t="s">
        <v>53</v>
      </c>
      <c r="B17" s="251" t="s">
        <v>404</v>
      </c>
      <c r="C17" s="252">
        <v>3</v>
      </c>
      <c r="D17" s="253" t="s">
        <v>282</v>
      </c>
      <c r="E17" s="253">
        <v>1</v>
      </c>
      <c r="F17" s="253">
        <v>3</v>
      </c>
      <c r="G17" s="253">
        <v>5</v>
      </c>
      <c r="H17" s="254"/>
    </row>
    <row r="18" spans="1:8" s="248" customFormat="1" ht="25.5" x14ac:dyDescent="0.2">
      <c r="A18" s="250" t="s">
        <v>54</v>
      </c>
      <c r="B18" s="251" t="s">
        <v>405</v>
      </c>
      <c r="C18" s="252">
        <v>3</v>
      </c>
      <c r="D18" s="253" t="s">
        <v>282</v>
      </c>
      <c r="E18" s="253">
        <v>1</v>
      </c>
      <c r="F18" s="253">
        <v>3</v>
      </c>
      <c r="G18" s="253">
        <v>5</v>
      </c>
      <c r="H18" s="254"/>
    </row>
    <row r="19" spans="1:8" s="248" customFormat="1" x14ac:dyDescent="0.2">
      <c r="A19" s="250" t="s">
        <v>55</v>
      </c>
      <c r="B19" s="251" t="s">
        <v>406</v>
      </c>
      <c r="C19" s="252">
        <v>3</v>
      </c>
      <c r="D19" s="253" t="s">
        <v>282</v>
      </c>
      <c r="E19" s="253">
        <v>1</v>
      </c>
      <c r="F19" s="253">
        <v>3</v>
      </c>
      <c r="G19" s="253">
        <v>5</v>
      </c>
      <c r="H19" s="254"/>
    </row>
    <row r="20" spans="1:8" s="248" customFormat="1" ht="25.5" x14ac:dyDescent="0.2">
      <c r="A20" s="250" t="s">
        <v>71</v>
      </c>
      <c r="B20" s="251" t="s">
        <v>407</v>
      </c>
      <c r="C20" s="252">
        <v>3</v>
      </c>
      <c r="D20" s="253" t="s">
        <v>282</v>
      </c>
      <c r="E20" s="253">
        <v>1</v>
      </c>
      <c r="F20" s="253">
        <v>3</v>
      </c>
      <c r="G20" s="253">
        <v>5</v>
      </c>
      <c r="H20" s="254"/>
    </row>
    <row r="21" spans="1:8" s="248" customFormat="1" x14ac:dyDescent="0.2">
      <c r="A21" s="250" t="s">
        <v>72</v>
      </c>
      <c r="B21" s="251" t="s">
        <v>408</v>
      </c>
      <c r="C21" s="252">
        <v>3</v>
      </c>
      <c r="D21" s="253" t="s">
        <v>282</v>
      </c>
      <c r="E21" s="253">
        <v>1</v>
      </c>
      <c r="F21" s="253">
        <v>3</v>
      </c>
      <c r="G21" s="253">
        <v>5</v>
      </c>
      <c r="H21" s="254"/>
    </row>
    <row r="22" spans="1:8" s="248" customFormat="1" ht="23.25" customHeight="1" x14ac:dyDescent="0.2">
      <c r="A22" s="250" t="s">
        <v>101</v>
      </c>
      <c r="B22" s="251" t="s">
        <v>409</v>
      </c>
      <c r="C22" s="252">
        <v>3</v>
      </c>
      <c r="D22" s="253" t="s">
        <v>282</v>
      </c>
      <c r="E22" s="253">
        <v>1</v>
      </c>
      <c r="F22" s="253">
        <v>3</v>
      </c>
      <c r="G22" s="253">
        <v>5</v>
      </c>
      <c r="H22" s="254"/>
    </row>
    <row r="23" spans="1:8" s="248" customFormat="1" ht="25.5" x14ac:dyDescent="0.2">
      <c r="A23" s="250" t="s">
        <v>39</v>
      </c>
      <c r="B23" s="251" t="s">
        <v>410</v>
      </c>
      <c r="C23" s="252">
        <v>3</v>
      </c>
      <c r="D23" s="253" t="s">
        <v>282</v>
      </c>
      <c r="E23" s="253">
        <v>1</v>
      </c>
      <c r="F23" s="253">
        <v>3</v>
      </c>
      <c r="G23" s="253">
        <v>5</v>
      </c>
      <c r="H23" s="254"/>
    </row>
    <row r="24" spans="1:8" s="248" customFormat="1" ht="25.5" x14ac:dyDescent="0.2">
      <c r="A24" s="250" t="s">
        <v>103</v>
      </c>
      <c r="B24" s="251" t="s">
        <v>411</v>
      </c>
      <c r="C24" s="252">
        <v>3</v>
      </c>
      <c r="D24" s="253" t="s">
        <v>282</v>
      </c>
      <c r="E24" s="253">
        <v>1</v>
      </c>
      <c r="F24" s="253">
        <v>3</v>
      </c>
      <c r="G24" s="253">
        <v>5</v>
      </c>
      <c r="H24" s="254"/>
    </row>
    <row r="25" spans="1:8" s="164" customFormat="1" ht="18" customHeight="1" x14ac:dyDescent="0.2">
      <c r="A25" s="263"/>
      <c r="B25" s="264"/>
      <c r="C25" s="265"/>
      <c r="D25" s="261"/>
      <c r="E25" s="262"/>
      <c r="F25" s="262"/>
      <c r="G25" s="262"/>
      <c r="H25" s="261"/>
    </row>
    <row r="26" spans="1:8" s="164" customFormat="1" ht="25.5" customHeight="1" x14ac:dyDescent="0.25">
      <c r="A26" s="183"/>
      <c r="B26" s="133" t="s">
        <v>45</v>
      </c>
      <c r="C26" s="134">
        <f>SUM(C16:C25)</f>
        <v>27</v>
      </c>
      <c r="D26" s="134"/>
      <c r="E26" s="135"/>
      <c r="F26" s="135"/>
      <c r="G26" s="135"/>
      <c r="H26" s="134"/>
    </row>
    <row r="27" spans="1:8" s="164" customFormat="1" ht="25.5" customHeight="1" x14ac:dyDescent="0.2">
      <c r="A27" s="813" t="s">
        <v>18</v>
      </c>
      <c r="B27" s="814"/>
      <c r="C27" s="814"/>
      <c r="D27" s="814"/>
      <c r="E27" s="814"/>
      <c r="F27" s="814"/>
      <c r="G27" s="814"/>
      <c r="H27" s="815"/>
    </row>
    <row r="28" spans="1:8" s="248" customFormat="1" ht="18.75" customHeight="1" x14ac:dyDescent="0.2">
      <c r="A28" s="255" t="s">
        <v>385</v>
      </c>
      <c r="B28" s="256"/>
      <c r="C28" s="251"/>
      <c r="D28" s="257"/>
      <c r="E28" s="258"/>
      <c r="F28" s="258"/>
      <c r="G28" s="258"/>
      <c r="H28" s="254"/>
    </row>
    <row r="29" spans="1:8" s="248" customFormat="1" x14ac:dyDescent="0.2">
      <c r="A29" s="250" t="s">
        <v>161</v>
      </c>
      <c r="B29" s="251" t="s">
        <v>384</v>
      </c>
      <c r="C29" s="252">
        <v>3</v>
      </c>
      <c r="D29" s="253" t="s">
        <v>282</v>
      </c>
      <c r="E29" s="253">
        <v>1</v>
      </c>
      <c r="F29" s="253">
        <v>3</v>
      </c>
      <c r="G29" s="253">
        <v>5</v>
      </c>
      <c r="H29" s="254"/>
    </row>
    <row r="30" spans="1:8" s="248" customFormat="1" x14ac:dyDescent="0.2">
      <c r="A30" s="250" t="s">
        <v>162</v>
      </c>
      <c r="B30" s="251" t="s">
        <v>386</v>
      </c>
      <c r="C30" s="252">
        <v>3</v>
      </c>
      <c r="D30" s="253" t="s">
        <v>282</v>
      </c>
      <c r="E30" s="253">
        <v>1</v>
      </c>
      <c r="F30" s="253">
        <v>3</v>
      </c>
      <c r="G30" s="253">
        <v>5</v>
      </c>
      <c r="H30" s="254"/>
    </row>
    <row r="31" spans="1:8" s="248" customFormat="1" ht="25.5" x14ac:dyDescent="0.2">
      <c r="A31" s="250" t="s">
        <v>163</v>
      </c>
      <c r="B31" s="251" t="s">
        <v>445</v>
      </c>
      <c r="C31" s="252">
        <v>3</v>
      </c>
      <c r="D31" s="253" t="s">
        <v>282</v>
      </c>
      <c r="E31" s="253">
        <v>1</v>
      </c>
      <c r="F31" s="253">
        <v>3</v>
      </c>
      <c r="G31" s="253">
        <v>5</v>
      </c>
      <c r="H31" s="254"/>
    </row>
    <row r="32" spans="1:8" s="248" customFormat="1" x14ac:dyDescent="0.2">
      <c r="A32" s="250" t="s">
        <v>164</v>
      </c>
      <c r="B32" s="251" t="s">
        <v>387</v>
      </c>
      <c r="C32" s="252">
        <v>3</v>
      </c>
      <c r="D32" s="253" t="s">
        <v>282</v>
      </c>
      <c r="E32" s="253">
        <v>1</v>
      </c>
      <c r="F32" s="253">
        <v>3</v>
      </c>
      <c r="G32" s="253">
        <v>5</v>
      </c>
      <c r="H32" s="254"/>
    </row>
    <row r="33" spans="1:8" s="248" customFormat="1" ht="13.5" customHeight="1" x14ac:dyDescent="0.2">
      <c r="A33" s="250" t="s">
        <v>165</v>
      </c>
      <c r="B33" s="251" t="s">
        <v>388</v>
      </c>
      <c r="C33" s="252">
        <v>3</v>
      </c>
      <c r="D33" s="253" t="s">
        <v>282</v>
      </c>
      <c r="E33" s="253">
        <v>1</v>
      </c>
      <c r="F33" s="253">
        <v>3</v>
      </c>
      <c r="G33" s="253">
        <v>5</v>
      </c>
      <c r="H33" s="254"/>
    </row>
    <row r="34" spans="1:8" s="248" customFormat="1" ht="25.5" x14ac:dyDescent="0.2">
      <c r="A34" s="250" t="s">
        <v>166</v>
      </c>
      <c r="B34" s="251" t="s">
        <v>429</v>
      </c>
      <c r="C34" s="252">
        <v>3</v>
      </c>
      <c r="D34" s="253" t="s">
        <v>282</v>
      </c>
      <c r="E34" s="253">
        <v>1</v>
      </c>
      <c r="F34" s="253">
        <v>3</v>
      </c>
      <c r="G34" s="253">
        <v>5</v>
      </c>
      <c r="H34" s="254"/>
    </row>
    <row r="35" spans="1:8" s="248" customFormat="1" x14ac:dyDescent="0.2">
      <c r="A35" s="250" t="s">
        <v>167</v>
      </c>
      <c r="B35" s="251" t="s">
        <v>389</v>
      </c>
      <c r="C35" s="252">
        <v>3</v>
      </c>
      <c r="D35" s="253" t="s">
        <v>282</v>
      </c>
      <c r="E35" s="253">
        <v>1</v>
      </c>
      <c r="F35" s="253">
        <v>3</v>
      </c>
      <c r="G35" s="253">
        <v>5</v>
      </c>
      <c r="H35" s="254"/>
    </row>
    <row r="36" spans="1:8" s="164" customFormat="1" x14ac:dyDescent="0.2">
      <c r="A36" s="250"/>
      <c r="B36" s="259"/>
      <c r="C36" s="260"/>
      <c r="D36" s="261"/>
      <c r="E36" s="262"/>
      <c r="F36" s="262"/>
      <c r="G36" s="262"/>
      <c r="H36" s="259"/>
    </row>
    <row r="37" spans="1:8" s="164" customFormat="1" ht="25.5" customHeight="1" x14ac:dyDescent="0.25">
      <c r="A37" s="183"/>
      <c r="B37" s="133" t="s">
        <v>395</v>
      </c>
      <c r="C37" s="134">
        <f>SUM(C29:C36)</f>
        <v>21</v>
      </c>
      <c r="D37" s="134"/>
      <c r="E37" s="135"/>
      <c r="F37" s="135"/>
      <c r="G37" s="135"/>
      <c r="H37" s="134"/>
    </row>
    <row r="38" spans="1:8" s="164" customFormat="1" ht="25.5" customHeight="1" x14ac:dyDescent="0.2">
      <c r="A38" s="813" t="s">
        <v>19</v>
      </c>
      <c r="B38" s="814"/>
      <c r="C38" s="814"/>
      <c r="D38" s="814"/>
      <c r="E38" s="814"/>
      <c r="F38" s="814"/>
      <c r="G38" s="814"/>
      <c r="H38" s="815"/>
    </row>
    <row r="39" spans="1:8" s="248" customFormat="1" ht="25.5" x14ac:dyDescent="0.2">
      <c r="A39" s="250" t="s">
        <v>57</v>
      </c>
      <c r="B39" s="251" t="s">
        <v>391</v>
      </c>
      <c r="C39" s="252">
        <v>3</v>
      </c>
      <c r="D39" s="253" t="s">
        <v>282</v>
      </c>
      <c r="E39" s="253">
        <v>1</v>
      </c>
      <c r="F39" s="253">
        <v>3</v>
      </c>
      <c r="G39" s="253">
        <v>5</v>
      </c>
      <c r="H39" s="254"/>
    </row>
    <row r="40" spans="1:8" s="248" customFormat="1" ht="28.5" customHeight="1" x14ac:dyDescent="0.2">
      <c r="A40" s="250" t="s">
        <v>58</v>
      </c>
      <c r="B40" s="251" t="s">
        <v>394</v>
      </c>
      <c r="C40" s="252">
        <v>3</v>
      </c>
      <c r="D40" s="253" t="s">
        <v>282</v>
      </c>
      <c r="E40" s="253">
        <v>1</v>
      </c>
      <c r="F40" s="253">
        <v>3</v>
      </c>
      <c r="G40" s="253">
        <v>5</v>
      </c>
      <c r="H40" s="254"/>
    </row>
    <row r="41" spans="1:8" s="248" customFormat="1" ht="25.5" x14ac:dyDescent="0.2">
      <c r="A41" s="250" t="s">
        <v>59</v>
      </c>
      <c r="B41" s="251" t="s">
        <v>393</v>
      </c>
      <c r="C41" s="252">
        <v>3</v>
      </c>
      <c r="D41" s="253" t="s">
        <v>282</v>
      </c>
      <c r="E41" s="253">
        <v>1</v>
      </c>
      <c r="F41" s="253">
        <v>3</v>
      </c>
      <c r="G41" s="253">
        <v>5</v>
      </c>
      <c r="H41" s="254"/>
    </row>
    <row r="42" spans="1:8" s="248" customFormat="1" ht="28.5" customHeight="1" x14ac:dyDescent="0.2">
      <c r="A42" s="250" t="s">
        <v>60</v>
      </c>
      <c r="B42" s="251" t="s">
        <v>392</v>
      </c>
      <c r="C42" s="252">
        <v>3</v>
      </c>
      <c r="D42" s="253" t="s">
        <v>282</v>
      </c>
      <c r="E42" s="253">
        <v>1</v>
      </c>
      <c r="F42" s="253">
        <v>3</v>
      </c>
      <c r="G42" s="253">
        <v>5</v>
      </c>
      <c r="H42" s="254"/>
    </row>
    <row r="43" spans="1:8" s="248" customFormat="1" ht="70.5" customHeight="1" x14ac:dyDescent="0.2">
      <c r="A43" s="250" t="s">
        <v>61</v>
      </c>
      <c r="B43" s="251" t="s">
        <v>139</v>
      </c>
      <c r="C43" s="252">
        <v>3</v>
      </c>
      <c r="D43" s="253" t="s">
        <v>282</v>
      </c>
      <c r="E43" s="253">
        <v>1</v>
      </c>
      <c r="F43" s="253">
        <v>3</v>
      </c>
      <c r="G43" s="253">
        <v>5</v>
      </c>
      <c r="H43" s="254"/>
    </row>
    <row r="44" spans="1:8" s="248" customFormat="1" ht="25.5" x14ac:dyDescent="0.2">
      <c r="A44" s="250" t="s">
        <v>62</v>
      </c>
      <c r="B44" s="251" t="s">
        <v>140</v>
      </c>
      <c r="C44" s="252">
        <v>3</v>
      </c>
      <c r="D44" s="253" t="s">
        <v>282</v>
      </c>
      <c r="E44" s="253">
        <v>1</v>
      </c>
      <c r="F44" s="253">
        <v>3</v>
      </c>
      <c r="G44" s="253">
        <v>5</v>
      </c>
      <c r="H44" s="254"/>
    </row>
    <row r="45" spans="1:8" s="248" customFormat="1" ht="25.5" x14ac:dyDescent="0.2">
      <c r="A45" s="250" t="s">
        <v>63</v>
      </c>
      <c r="B45" s="251" t="s">
        <v>142</v>
      </c>
      <c r="C45" s="252">
        <v>3</v>
      </c>
      <c r="D45" s="253" t="s">
        <v>282</v>
      </c>
      <c r="E45" s="253">
        <v>1</v>
      </c>
      <c r="F45" s="253">
        <v>3</v>
      </c>
      <c r="G45" s="253">
        <v>5</v>
      </c>
      <c r="H45" s="254"/>
    </row>
    <row r="46" spans="1:8" s="248" customFormat="1" ht="25.5" x14ac:dyDescent="0.2">
      <c r="A46" s="250" t="s">
        <v>64</v>
      </c>
      <c r="B46" s="259" t="s">
        <v>339</v>
      </c>
      <c r="C46" s="252">
        <v>3</v>
      </c>
      <c r="D46" s="253" t="s">
        <v>282</v>
      </c>
      <c r="E46" s="253">
        <v>1</v>
      </c>
      <c r="F46" s="253">
        <v>3</v>
      </c>
      <c r="G46" s="253">
        <v>5</v>
      </c>
      <c r="H46" s="254"/>
    </row>
    <row r="47" spans="1:8" s="248" customFormat="1" x14ac:dyDescent="0.2">
      <c r="A47" s="250" t="s">
        <v>93</v>
      </c>
      <c r="B47" s="259" t="s">
        <v>141</v>
      </c>
      <c r="C47" s="252">
        <v>3</v>
      </c>
      <c r="D47" s="253" t="s">
        <v>282</v>
      </c>
      <c r="E47" s="253">
        <v>1</v>
      </c>
      <c r="F47" s="253">
        <v>3</v>
      </c>
      <c r="G47" s="253">
        <v>5</v>
      </c>
      <c r="H47" s="254"/>
    </row>
    <row r="48" spans="1:8" s="248" customFormat="1" ht="25.5" x14ac:dyDescent="0.2">
      <c r="A48" s="250" t="s">
        <v>94</v>
      </c>
      <c r="B48" s="259" t="s">
        <v>446</v>
      </c>
      <c r="C48" s="252">
        <v>3</v>
      </c>
      <c r="D48" s="253" t="s">
        <v>282</v>
      </c>
      <c r="E48" s="253">
        <v>1</v>
      </c>
      <c r="F48" s="253">
        <v>3</v>
      </c>
      <c r="G48" s="253">
        <v>5</v>
      </c>
      <c r="H48" s="254"/>
    </row>
    <row r="49" spans="1:10" s="248" customFormat="1" ht="25.5" x14ac:dyDescent="0.2">
      <c r="A49" s="250" t="s">
        <v>104</v>
      </c>
      <c r="B49" s="259" t="s">
        <v>74</v>
      </c>
      <c r="C49" s="252">
        <v>3</v>
      </c>
      <c r="D49" s="253" t="s">
        <v>282</v>
      </c>
      <c r="E49" s="253">
        <v>1</v>
      </c>
      <c r="F49" s="253">
        <v>3</v>
      </c>
      <c r="G49" s="253">
        <v>5</v>
      </c>
      <c r="H49" s="254"/>
    </row>
    <row r="50" spans="1:10" s="248" customFormat="1" ht="25.5" x14ac:dyDescent="0.2">
      <c r="A50" s="250" t="s">
        <v>105</v>
      </c>
      <c r="B50" s="259" t="s">
        <v>340</v>
      </c>
      <c r="C50" s="252">
        <v>3</v>
      </c>
      <c r="D50" s="253" t="s">
        <v>282</v>
      </c>
      <c r="E50" s="253">
        <v>1</v>
      </c>
      <c r="F50" s="253">
        <v>3</v>
      </c>
      <c r="G50" s="253">
        <v>5</v>
      </c>
      <c r="H50" s="254"/>
    </row>
    <row r="51" spans="1:10" s="164" customFormat="1" x14ac:dyDescent="0.2">
      <c r="A51" s="258"/>
      <c r="B51" s="251"/>
      <c r="C51" s="260"/>
      <c r="D51" s="261"/>
      <c r="E51" s="262"/>
      <c r="F51" s="262"/>
      <c r="G51" s="262"/>
      <c r="H51" s="261"/>
    </row>
    <row r="52" spans="1:10" s="164" customFormat="1" ht="25.5" customHeight="1" x14ac:dyDescent="0.25">
      <c r="A52" s="183"/>
      <c r="B52" s="133" t="s">
        <v>56</v>
      </c>
      <c r="C52" s="134">
        <f>SUM(C39:C51)</f>
        <v>36</v>
      </c>
      <c r="D52" s="134"/>
      <c r="E52" s="135"/>
      <c r="F52" s="135"/>
      <c r="G52" s="135"/>
      <c r="H52" s="134"/>
    </row>
    <row r="53" spans="1:10" s="164" customFormat="1" ht="25.5" customHeight="1" x14ac:dyDescent="0.2">
      <c r="A53" s="813" t="s">
        <v>21</v>
      </c>
      <c r="B53" s="814"/>
      <c r="C53" s="814"/>
      <c r="D53" s="814"/>
      <c r="E53" s="814"/>
      <c r="F53" s="814"/>
      <c r="G53" s="814"/>
      <c r="H53" s="815"/>
      <c r="J53" s="165"/>
    </row>
    <row r="54" spans="1:10" s="166" customFormat="1" ht="25.5" x14ac:dyDescent="0.2">
      <c r="A54" s="250" t="s">
        <v>353</v>
      </c>
      <c r="B54" s="251" t="s">
        <v>111</v>
      </c>
      <c r="C54" s="252">
        <v>3</v>
      </c>
      <c r="D54" s="253"/>
      <c r="E54" s="253">
        <v>1</v>
      </c>
      <c r="F54" s="253">
        <v>3</v>
      </c>
      <c r="G54" s="253">
        <v>5</v>
      </c>
      <c r="H54" s="254"/>
    </row>
    <row r="55" spans="1:10" s="166" customFormat="1" ht="25.5" x14ac:dyDescent="0.2">
      <c r="A55" s="250" t="s">
        <v>354</v>
      </c>
      <c r="B55" s="251" t="s">
        <v>112</v>
      </c>
      <c r="C55" s="252">
        <v>3</v>
      </c>
      <c r="D55" s="253"/>
      <c r="E55" s="253">
        <v>1</v>
      </c>
      <c r="F55" s="253">
        <v>3</v>
      </c>
      <c r="G55" s="253">
        <v>5</v>
      </c>
      <c r="H55" s="254"/>
    </row>
    <row r="56" spans="1:10" s="166" customFormat="1" x14ac:dyDescent="0.2">
      <c r="A56" s="250" t="s">
        <v>355</v>
      </c>
      <c r="B56" s="251" t="s">
        <v>342</v>
      </c>
      <c r="C56" s="252">
        <v>3</v>
      </c>
      <c r="D56" s="253"/>
      <c r="E56" s="253">
        <v>1</v>
      </c>
      <c r="F56" s="253">
        <v>3</v>
      </c>
      <c r="G56" s="253">
        <v>5</v>
      </c>
      <c r="H56" s="254"/>
    </row>
    <row r="57" spans="1:10" s="166" customFormat="1" ht="25.5" x14ac:dyDescent="0.2">
      <c r="A57" s="250" t="s">
        <v>356</v>
      </c>
      <c r="B57" s="251" t="s">
        <v>447</v>
      </c>
      <c r="C57" s="252">
        <v>3</v>
      </c>
      <c r="D57" s="253"/>
      <c r="E57" s="253">
        <v>1</v>
      </c>
      <c r="F57" s="253">
        <v>3</v>
      </c>
      <c r="G57" s="253">
        <v>5</v>
      </c>
      <c r="H57" s="254"/>
    </row>
    <row r="58" spans="1:10" s="166" customFormat="1" ht="25.5" x14ac:dyDescent="0.2">
      <c r="A58" s="250" t="s">
        <v>357</v>
      </c>
      <c r="B58" s="251" t="s">
        <v>109</v>
      </c>
      <c r="C58" s="252">
        <v>3</v>
      </c>
      <c r="D58" s="253"/>
      <c r="E58" s="253">
        <v>1</v>
      </c>
      <c r="F58" s="253">
        <v>3</v>
      </c>
      <c r="G58" s="253">
        <v>5</v>
      </c>
      <c r="H58" s="254"/>
    </row>
    <row r="59" spans="1:10" s="166" customFormat="1" x14ac:dyDescent="0.2">
      <c r="A59" s="250" t="s">
        <v>358</v>
      </c>
      <c r="B59" s="251" t="s">
        <v>110</v>
      </c>
      <c r="C59" s="252">
        <v>3</v>
      </c>
      <c r="D59" s="253"/>
      <c r="E59" s="253">
        <v>1</v>
      </c>
      <c r="F59" s="253">
        <v>3</v>
      </c>
      <c r="G59" s="253">
        <v>5</v>
      </c>
      <c r="H59" s="254"/>
    </row>
    <row r="60" spans="1:10" s="166" customFormat="1" x14ac:dyDescent="0.2">
      <c r="A60" s="250" t="s">
        <v>359</v>
      </c>
      <c r="B60" s="251" t="s">
        <v>114</v>
      </c>
      <c r="C60" s="252">
        <v>3</v>
      </c>
      <c r="D60" s="253"/>
      <c r="E60" s="253">
        <v>1</v>
      </c>
      <c r="F60" s="253">
        <v>3</v>
      </c>
      <c r="G60" s="253">
        <v>5</v>
      </c>
      <c r="H60" s="254"/>
    </row>
    <row r="61" spans="1:10" s="166" customFormat="1" x14ac:dyDescent="0.2">
      <c r="A61" s="250" t="s">
        <v>360</v>
      </c>
      <c r="B61" s="251" t="s">
        <v>38</v>
      </c>
      <c r="C61" s="252">
        <v>3</v>
      </c>
      <c r="D61" s="253"/>
      <c r="E61" s="253">
        <v>1</v>
      </c>
      <c r="F61" s="253">
        <v>3</v>
      </c>
      <c r="G61" s="253">
        <v>5</v>
      </c>
      <c r="H61" s="254"/>
    </row>
    <row r="62" spans="1:10" s="166" customFormat="1" ht="16.5" customHeight="1" x14ac:dyDescent="0.2">
      <c r="A62" s="250" t="s">
        <v>361</v>
      </c>
      <c r="B62" s="251" t="s">
        <v>113</v>
      </c>
      <c r="C62" s="252">
        <v>3</v>
      </c>
      <c r="D62" s="253"/>
      <c r="E62" s="253">
        <v>1</v>
      </c>
      <c r="F62" s="253">
        <v>3</v>
      </c>
      <c r="G62" s="253">
        <v>5</v>
      </c>
      <c r="H62" s="254"/>
    </row>
    <row r="63" spans="1:10" s="164" customFormat="1" x14ac:dyDescent="0.2">
      <c r="A63" s="258"/>
      <c r="B63" s="259"/>
      <c r="C63" s="260"/>
      <c r="D63" s="262"/>
      <c r="E63" s="262"/>
      <c r="F63" s="262"/>
      <c r="G63" s="259"/>
      <c r="H63" s="259"/>
    </row>
    <row r="64" spans="1:10" s="164" customFormat="1" ht="25.5" customHeight="1" x14ac:dyDescent="0.25">
      <c r="A64" s="183"/>
      <c r="B64" s="133" t="s">
        <v>362</v>
      </c>
      <c r="C64" s="134">
        <f>SUM(C54:C63)</f>
        <v>27</v>
      </c>
      <c r="D64" s="135"/>
      <c r="E64" s="135"/>
      <c r="F64" s="135"/>
      <c r="G64" s="134"/>
      <c r="H64" s="134"/>
    </row>
    <row r="65" spans="1:10" s="164" customFormat="1" ht="25.5" customHeight="1" x14ac:dyDescent="0.2">
      <c r="A65" s="813" t="s">
        <v>20</v>
      </c>
      <c r="B65" s="814"/>
      <c r="C65" s="814"/>
      <c r="D65" s="814"/>
      <c r="E65" s="814"/>
      <c r="F65" s="814"/>
      <c r="G65" s="814"/>
      <c r="H65" s="815"/>
      <c r="J65" s="165"/>
    </row>
    <row r="66" spans="1:10" s="248" customFormat="1" ht="25.5" x14ac:dyDescent="0.2">
      <c r="A66" s="250" t="s">
        <v>65</v>
      </c>
      <c r="B66" s="259" t="s">
        <v>96</v>
      </c>
      <c r="C66" s="252">
        <v>3</v>
      </c>
      <c r="D66" s="253" t="s">
        <v>282</v>
      </c>
      <c r="E66" s="253">
        <v>1</v>
      </c>
      <c r="F66" s="253">
        <v>3</v>
      </c>
      <c r="G66" s="253">
        <v>5</v>
      </c>
      <c r="H66" s="254"/>
      <c r="J66" s="249"/>
    </row>
    <row r="67" spans="1:10" s="248" customFormat="1" ht="25.5" x14ac:dyDescent="0.2">
      <c r="A67" s="250" t="s">
        <v>66</v>
      </c>
      <c r="B67" s="259" t="s">
        <v>98</v>
      </c>
      <c r="C67" s="252">
        <v>3</v>
      </c>
      <c r="D67" s="253" t="s">
        <v>282</v>
      </c>
      <c r="E67" s="253">
        <v>1</v>
      </c>
      <c r="F67" s="253">
        <v>3</v>
      </c>
      <c r="G67" s="253">
        <v>5</v>
      </c>
      <c r="H67" s="254"/>
      <c r="J67" s="249"/>
    </row>
    <row r="68" spans="1:10" s="248" customFormat="1" ht="25.5" x14ac:dyDescent="0.2">
      <c r="A68" s="250" t="s">
        <v>67</v>
      </c>
      <c r="B68" s="259" t="s">
        <v>100</v>
      </c>
      <c r="C68" s="252">
        <v>3</v>
      </c>
      <c r="D68" s="253" t="s">
        <v>282</v>
      </c>
      <c r="E68" s="253">
        <v>1</v>
      </c>
      <c r="F68" s="253">
        <v>3</v>
      </c>
      <c r="G68" s="253">
        <v>5</v>
      </c>
      <c r="H68" s="254"/>
      <c r="J68" s="249"/>
    </row>
    <row r="69" spans="1:10" s="248" customFormat="1" x14ac:dyDescent="0.2">
      <c r="A69" s="250" t="s">
        <v>68</v>
      </c>
      <c r="B69" s="259" t="s">
        <v>97</v>
      </c>
      <c r="C69" s="252">
        <v>3</v>
      </c>
      <c r="D69" s="253" t="s">
        <v>282</v>
      </c>
      <c r="E69" s="253">
        <v>1</v>
      </c>
      <c r="F69" s="253">
        <v>3</v>
      </c>
      <c r="G69" s="253">
        <v>5</v>
      </c>
      <c r="H69" s="254"/>
      <c r="J69" s="249"/>
    </row>
    <row r="70" spans="1:10" s="248" customFormat="1" ht="38.25" x14ac:dyDescent="0.2">
      <c r="A70" s="250" t="s">
        <v>69</v>
      </c>
      <c r="B70" s="259" t="s">
        <v>99</v>
      </c>
      <c r="C70" s="252">
        <v>3</v>
      </c>
      <c r="D70" s="253" t="s">
        <v>282</v>
      </c>
      <c r="E70" s="253">
        <v>1</v>
      </c>
      <c r="F70" s="253">
        <v>3</v>
      </c>
      <c r="G70" s="253">
        <v>5</v>
      </c>
      <c r="H70" s="254"/>
    </row>
    <row r="71" spans="1:10" s="248" customFormat="1" ht="25.5" x14ac:dyDescent="0.2">
      <c r="A71" s="250" t="s">
        <v>70</v>
      </c>
      <c r="B71" s="259" t="s">
        <v>95</v>
      </c>
      <c r="C71" s="252">
        <v>3</v>
      </c>
      <c r="D71" s="253" t="s">
        <v>282</v>
      </c>
      <c r="E71" s="253">
        <v>1</v>
      </c>
      <c r="F71" s="253">
        <v>3</v>
      </c>
      <c r="G71" s="253">
        <v>5</v>
      </c>
      <c r="H71" s="254"/>
    </row>
    <row r="72" spans="1:10" s="164" customFormat="1" x14ac:dyDescent="0.2">
      <c r="A72" s="258"/>
      <c r="B72" s="259"/>
      <c r="C72" s="260"/>
      <c r="D72" s="261"/>
      <c r="E72" s="262"/>
      <c r="F72" s="262"/>
      <c r="G72" s="262"/>
      <c r="H72" s="259"/>
    </row>
    <row r="73" spans="1:10" s="164" customFormat="1" ht="25.5" customHeight="1" x14ac:dyDescent="0.25">
      <c r="A73" s="183"/>
      <c r="B73" s="133" t="s">
        <v>396</v>
      </c>
      <c r="C73" s="134">
        <f>SUM(C66:C72)</f>
        <v>18</v>
      </c>
      <c r="D73" s="134"/>
      <c r="E73" s="135"/>
      <c r="F73" s="135"/>
      <c r="G73" s="135"/>
      <c r="H73" s="134"/>
    </row>
    <row r="74" spans="1:10" s="164" customFormat="1" ht="15" x14ac:dyDescent="0.2">
      <c r="A74" s="110"/>
      <c r="B74" s="109"/>
      <c r="C74" s="103"/>
      <c r="D74" s="103"/>
      <c r="E74" s="108"/>
      <c r="F74" s="108"/>
      <c r="G74" s="108"/>
      <c r="H74" s="103"/>
    </row>
    <row r="75" spans="1:10" s="164" customFormat="1" ht="15" x14ac:dyDescent="0.2">
      <c r="A75" s="110"/>
      <c r="B75" s="109"/>
      <c r="C75" s="103"/>
      <c r="D75" s="103"/>
      <c r="E75" s="108"/>
      <c r="F75" s="108"/>
      <c r="G75" s="108"/>
      <c r="H75" s="103"/>
    </row>
    <row r="76" spans="1:10" s="164" customFormat="1" ht="15" x14ac:dyDescent="0.2">
      <c r="A76" s="110"/>
      <c r="B76" s="109"/>
      <c r="C76" s="103"/>
      <c r="D76" s="103"/>
      <c r="E76" s="108"/>
      <c r="F76" s="108"/>
      <c r="G76" s="108"/>
      <c r="H76" s="103"/>
    </row>
  </sheetData>
  <customSheetViews>
    <customSheetView guid="{4F1DA828-56A9-4F85-92B4-9F65C862495B}" showGridLines="0" fitToPage="1" hiddenColumns="1">
      <pane ySplit="4" topLeftCell="A5" activePane="bottomLeft" state="frozen"/>
      <selection pane="bottomLeft" activeCell="H16" sqref="H16"/>
      <rowBreaks count="3" manualBreakCount="3">
        <brk id="14" max="7" man="1"/>
        <brk id="37" max="7" man="1"/>
        <brk id="52" max="7" man="1"/>
      </rowBreaks>
      <pageMargins left="0.5" right="0.5" top="0.65" bottom="0.65" header="0.3" footer="0.26"/>
      <pageSetup paperSize="5" scale="95" fitToHeight="0" orientation="landscape" r:id="rId1"/>
      <headerFooter alignWithMargins="0">
        <oddHeader>&amp;L&amp;10[Agency/Organization Name]
[Project Name]&amp;R&amp;10BUSINESS CASE
[Version Number] [Revision Date]</oddHeader>
        <oddFooter>&amp;L&amp;10Based on
DIR Document 10BC-W1-9&amp;C&amp;10Page &amp;P of &amp;N&amp;R&amp;10Business Justification</oddFooter>
      </headerFooter>
    </customSheetView>
    <customSheetView guid="{7AC71C8E-3F0A-447A-859A-02DD2BAED197}" scale="75" showGridLines="0" fitToPage="1" hiddenColumns="1" showRuler="0">
      <selection activeCell="H6" sqref="H6"/>
      <pageMargins left="0.54" right="0.75" top="0.65" bottom="0.52" header="0.35" footer="0.26"/>
      <printOptions horizontalCentered="1"/>
      <pageSetup paperSize="5" scale="95" fitToHeight="0" orientation="landscape" r:id="rId2"/>
      <headerFooter alignWithMargins="0">
        <oddHeader>&amp;L&amp;10&lt;Agency name&gt; &amp;C&amp;"Arial,Bold"&amp;A&amp;R&amp;10&lt;Project Name&gt;</oddHeader>
        <oddFooter>&amp;L&amp;F&amp;CPage &amp;P of &amp;N&amp;R&amp;D &amp;T</oddFooter>
      </headerFooter>
    </customSheetView>
  </customSheetViews>
  <mergeCells count="8">
    <mergeCell ref="A38:H38"/>
    <mergeCell ref="A65:H65"/>
    <mergeCell ref="A27:H27"/>
    <mergeCell ref="A53:H53"/>
    <mergeCell ref="A2:H2"/>
    <mergeCell ref="A3:H3"/>
    <mergeCell ref="A5:H5"/>
    <mergeCell ref="A15:H15"/>
  </mergeCells>
  <phoneticPr fontId="0" type="noConversion"/>
  <dataValidations xWindow="580" yWindow="431" count="1">
    <dataValidation type="list" allowBlank="1" showErrorMessage="1" errorTitle="Data Error" error="You must choose a value from the list." sqref="C6:C12 C39:C50 C16:C24 C54:C62 C29:C35 C66:C71">
      <formula1>$D6:$G6</formula1>
    </dataValidation>
  </dataValidations>
  <pageMargins left="0.5" right="0.5" top="0.65" bottom="0.65" header="0.3" footer="0.26"/>
  <pageSetup scale="99" fitToHeight="0" orientation="landscape" cellComments="asDisplayed" r:id="rId3"/>
  <headerFooter alignWithMargins="0">
    <oddHeader>&amp;L&amp;10[Agency/Organization Name]
[Project Name]&amp;R&amp;10BUSINESS CASE WORKBOOK 
[Version Number] [Revision Date mm/dd/yy]</oddHeader>
    <oddFooter>&amp;L&amp;10Based on DIR Document 10BC-W2-2&amp;C&amp;10&amp;K000000Page &amp;P of &amp;N&amp;R&amp;10Business Justification</oddFooter>
  </headerFooter>
  <rowBreaks count="3" manualBreakCount="3">
    <brk id="14" max="7" man="1"/>
    <brk id="37" max="7" man="1"/>
    <brk id="52" max="7"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9"/>
  </sheetPr>
  <dimension ref="A1:O82"/>
  <sheetViews>
    <sheetView showGridLines="0" zoomScale="70" zoomScaleNormal="70" zoomScaleSheetLayoutView="70" workbookViewId="0">
      <pane ySplit="2" topLeftCell="A51" activePane="bottomLeft" state="frozenSplit"/>
      <selection activeCell="E19" sqref="E19"/>
      <selection pane="bottomLeft" activeCell="E65" sqref="E65"/>
    </sheetView>
  </sheetViews>
  <sheetFormatPr defaultColWidth="9" defaultRowHeight="14.25" x14ac:dyDescent="0.2"/>
  <cols>
    <col min="1" max="1" width="6.75" style="8" customWidth="1"/>
    <col min="2" max="2" width="47.5" style="8" customWidth="1"/>
    <col min="3" max="3" width="11.125" style="8" customWidth="1"/>
    <col min="4" max="4" width="11.875" style="8" customWidth="1"/>
    <col min="5" max="6" width="13.875" style="8" customWidth="1"/>
    <col min="7" max="7" width="14.5" style="8" customWidth="1"/>
    <col min="8" max="8" width="13.625" style="8" customWidth="1"/>
    <col min="9" max="9" width="14.375" style="8" customWidth="1"/>
    <col min="10" max="10" width="14.875" style="8" customWidth="1"/>
    <col min="11" max="11" width="14.5" style="8" customWidth="1"/>
    <col min="12" max="12" width="14.375" style="8" customWidth="1"/>
    <col min="13" max="13" width="1.75" style="19" customWidth="1"/>
    <col min="14" max="14" width="14.25" style="15" customWidth="1"/>
    <col min="15" max="16384" width="9" style="8"/>
  </cols>
  <sheetData>
    <row r="1" spans="1:15" s="2" customFormat="1" ht="31.5" customHeight="1" thickBot="1" x14ac:dyDescent="0.25">
      <c r="A1" s="5" t="s">
        <v>736</v>
      </c>
      <c r="B1" s="5"/>
      <c r="C1" s="14"/>
      <c r="D1" s="14"/>
      <c r="E1" s="14"/>
      <c r="F1" s="14"/>
      <c r="G1" s="14"/>
      <c r="H1" s="14"/>
      <c r="I1" s="14"/>
      <c r="J1" s="14"/>
      <c r="K1" s="14"/>
      <c r="M1" s="19"/>
      <c r="N1" s="15"/>
    </row>
    <row r="2" spans="1:15" ht="17.25" customHeight="1" thickBot="1" x14ac:dyDescent="0.25">
      <c r="A2" s="81" t="s">
        <v>89</v>
      </c>
      <c r="B2" s="81" t="s">
        <v>76</v>
      </c>
      <c r="C2" s="82" t="s">
        <v>77</v>
      </c>
      <c r="D2" s="82" t="s">
        <v>78</v>
      </c>
      <c r="E2" s="82" t="s">
        <v>79</v>
      </c>
      <c r="F2" s="82" t="s">
        <v>80</v>
      </c>
      <c r="G2" s="82" t="s">
        <v>81</v>
      </c>
      <c r="H2" s="82" t="s">
        <v>82</v>
      </c>
      <c r="I2" s="82" t="s">
        <v>83</v>
      </c>
      <c r="J2" s="82" t="s">
        <v>84</v>
      </c>
      <c r="K2" s="82" t="s">
        <v>85</v>
      </c>
      <c r="L2" s="83" t="s">
        <v>86</v>
      </c>
      <c r="N2" s="10" t="s">
        <v>88</v>
      </c>
    </row>
    <row r="3" spans="1:15" s="145" customFormat="1" ht="17.25" customHeight="1" x14ac:dyDescent="0.2">
      <c r="A3" s="141"/>
      <c r="B3" s="142" t="s">
        <v>613</v>
      </c>
      <c r="C3" s="143"/>
      <c r="D3" s="143"/>
      <c r="E3" s="143"/>
      <c r="F3" s="143"/>
      <c r="G3" s="143"/>
      <c r="H3" s="143"/>
      <c r="I3" s="143"/>
      <c r="J3" s="143"/>
      <c r="K3" s="143"/>
      <c r="L3" s="143"/>
      <c r="M3" s="144"/>
      <c r="N3" s="150"/>
      <c r="O3" s="144"/>
    </row>
    <row r="4" spans="1:15" s="13" customFormat="1" ht="17.25" customHeight="1" x14ac:dyDescent="0.2">
      <c r="A4" s="138" t="s">
        <v>117</v>
      </c>
      <c r="B4" s="39" t="str">
        <f>Instructions!B24</f>
        <v>Total Project Agency Personnel Costs</v>
      </c>
      <c r="C4" s="203">
        <f>Cost_Analysis!D31-Cost_Analysis!D30</f>
        <v>295656</v>
      </c>
      <c r="D4" s="203">
        <f>Cost_Analysis!E31-Cost_Analysis!E30</f>
        <v>135264</v>
      </c>
      <c r="E4" s="203">
        <f>Cost_Analysis!F31-Cost_Analysis!F30</f>
        <v>71400</v>
      </c>
      <c r="F4" s="203">
        <f>Cost_Analysis!G31-Cost_Analysis!G30</f>
        <v>71400</v>
      </c>
      <c r="G4" s="203">
        <f>Cost_Analysis!H31-Cost_Analysis!H30</f>
        <v>71400</v>
      </c>
      <c r="H4" s="203">
        <f>Cost_Analysis!I31-Cost_Analysis!I30</f>
        <v>71400</v>
      </c>
      <c r="I4" s="203">
        <f>Cost_Analysis!J31-Cost_Analysis!J30</f>
        <v>71400</v>
      </c>
      <c r="J4" s="203">
        <f>Cost_Analysis!K31-Cost_Analysis!K30</f>
        <v>71400</v>
      </c>
      <c r="K4" s="203">
        <f>Cost_Analysis!L31-Cost_Analysis!L30</f>
        <v>71400</v>
      </c>
      <c r="L4" s="613">
        <f>Cost_Analysis!M31-Cost_Analysis!M30</f>
        <v>71400</v>
      </c>
      <c r="M4" s="22"/>
      <c r="N4" s="215">
        <f>SUM(C4:L4)</f>
        <v>1002120</v>
      </c>
    </row>
    <row r="5" spans="1:15" s="13" customFormat="1" ht="17.25" customHeight="1" x14ac:dyDescent="0.2">
      <c r="A5" s="113" t="s">
        <v>116</v>
      </c>
      <c r="B5" s="38" t="str">
        <f>Instructions!B23</f>
        <v>Project Agency Personnel Fringe Benefits</v>
      </c>
      <c r="C5" s="207">
        <f>Cost_Analysis!D30</f>
        <v>87928.094400000002</v>
      </c>
      <c r="D5" s="207">
        <f>Cost_Analysis!E30</f>
        <v>40227.513599999998</v>
      </c>
      <c r="E5" s="207">
        <f>Cost_Analysis!F30</f>
        <v>21234.36</v>
      </c>
      <c r="F5" s="207">
        <f>Cost_Analysis!G30</f>
        <v>21234.36</v>
      </c>
      <c r="G5" s="207">
        <f>Cost_Analysis!H30</f>
        <v>21234.36</v>
      </c>
      <c r="H5" s="207">
        <f>Cost_Analysis!I30</f>
        <v>21234.36</v>
      </c>
      <c r="I5" s="207">
        <f>Cost_Analysis!J30</f>
        <v>21234.36</v>
      </c>
      <c r="J5" s="207">
        <f>Cost_Analysis!K30</f>
        <v>21234.36</v>
      </c>
      <c r="K5" s="207">
        <f>Cost_Analysis!L30</f>
        <v>21234.36</v>
      </c>
      <c r="L5" s="614">
        <f>Cost_Analysis!M30</f>
        <v>21234.36</v>
      </c>
      <c r="M5" s="22"/>
      <c r="N5" s="216">
        <f>SUM(C5:L5)</f>
        <v>298030.4879999999</v>
      </c>
    </row>
    <row r="6" spans="1:15" s="13" customFormat="1" ht="17.25" customHeight="1" x14ac:dyDescent="0.2">
      <c r="A6" s="139" t="s">
        <v>118</v>
      </c>
      <c r="B6" s="40" t="str">
        <f>Instructions!B28</f>
        <v>Project Contract/Consultant Services</v>
      </c>
      <c r="C6" s="211">
        <f>Cost_Analysis!D64</f>
        <v>684600</v>
      </c>
      <c r="D6" s="211">
        <f>Cost_Analysis!E64</f>
        <v>589560</v>
      </c>
      <c r="E6" s="211">
        <f>Cost_Analysis!F64</f>
        <v>448800</v>
      </c>
      <c r="F6" s="211">
        <f>Cost_Analysis!G64</f>
        <v>448800</v>
      </c>
      <c r="G6" s="211">
        <f>Cost_Analysis!H64</f>
        <v>0</v>
      </c>
      <c r="H6" s="211">
        <f>Cost_Analysis!I64</f>
        <v>0</v>
      </c>
      <c r="I6" s="211">
        <f>Cost_Analysis!J64</f>
        <v>0</v>
      </c>
      <c r="J6" s="211">
        <f>Cost_Analysis!K64</f>
        <v>0</v>
      </c>
      <c r="K6" s="211">
        <f>Cost_Analysis!L64</f>
        <v>0</v>
      </c>
      <c r="L6" s="615">
        <f>Cost_Analysis!M64</f>
        <v>0</v>
      </c>
      <c r="M6" s="22"/>
      <c r="N6" s="221">
        <f>SUM(C6:L6)</f>
        <v>2171760</v>
      </c>
    </row>
    <row r="7" spans="1:15" s="69" customFormat="1" ht="36" customHeight="1" x14ac:dyDescent="0.25">
      <c r="A7" s="167" t="s">
        <v>120</v>
      </c>
      <c r="B7" s="168" t="str">
        <f>Instructions!B32</f>
        <v>Total Project Agency and Contract Personnel Costs</v>
      </c>
      <c r="C7" s="170">
        <f>SUM(C4:C6)</f>
        <v>1068184.0944000001</v>
      </c>
      <c r="D7" s="171">
        <f t="shared" ref="D7:L7" si="0">SUM(D4:D6)</f>
        <v>765051.51359999995</v>
      </c>
      <c r="E7" s="171">
        <f t="shared" si="0"/>
        <v>541434.36</v>
      </c>
      <c r="F7" s="171">
        <f t="shared" si="0"/>
        <v>541434.36</v>
      </c>
      <c r="G7" s="171">
        <f t="shared" si="0"/>
        <v>92634.36</v>
      </c>
      <c r="H7" s="171">
        <f t="shared" si="0"/>
        <v>92634.36</v>
      </c>
      <c r="I7" s="171">
        <f t="shared" si="0"/>
        <v>92634.36</v>
      </c>
      <c r="J7" s="171">
        <f t="shared" si="0"/>
        <v>92634.36</v>
      </c>
      <c r="K7" s="171">
        <f t="shared" si="0"/>
        <v>92634.36</v>
      </c>
      <c r="L7" s="172">
        <f t="shared" si="0"/>
        <v>92634.36</v>
      </c>
      <c r="M7" s="14"/>
      <c r="N7" s="65">
        <f>SUM(N4:N6)</f>
        <v>3471910.4879999999</v>
      </c>
    </row>
    <row r="8" spans="1:15" s="145" customFormat="1" ht="17.25" customHeight="1" x14ac:dyDescent="0.2">
      <c r="A8" s="141"/>
      <c r="B8" s="142" t="s">
        <v>603</v>
      </c>
      <c r="C8" s="143"/>
      <c r="D8" s="143"/>
      <c r="E8" s="143"/>
      <c r="F8" s="143"/>
      <c r="G8" s="143"/>
      <c r="H8" s="143"/>
      <c r="I8" s="143"/>
      <c r="J8" s="143"/>
      <c r="K8" s="143"/>
      <c r="L8" s="617"/>
      <c r="M8" s="144"/>
      <c r="N8" s="223"/>
      <c r="O8" s="144"/>
    </row>
    <row r="9" spans="1:15" s="13" customFormat="1" ht="17.25" customHeight="1" x14ac:dyDescent="0.2">
      <c r="A9" s="123" t="s">
        <v>122</v>
      </c>
      <c r="B9" s="47" t="s">
        <v>624</v>
      </c>
      <c r="C9" s="203">
        <f>Cost_Analysis!D83</f>
        <v>12000</v>
      </c>
      <c r="D9" s="203">
        <f>Cost_Analysis!E83</f>
        <v>0</v>
      </c>
      <c r="E9" s="203">
        <f>Cost_Analysis!F83</f>
        <v>0</v>
      </c>
      <c r="F9" s="203">
        <f>Cost_Analysis!G83</f>
        <v>0</v>
      </c>
      <c r="G9" s="203">
        <f>Cost_Analysis!H83</f>
        <v>0</v>
      </c>
      <c r="H9" s="203">
        <f>Cost_Analysis!I83</f>
        <v>0</v>
      </c>
      <c r="I9" s="203">
        <f>Cost_Analysis!J83</f>
        <v>0</v>
      </c>
      <c r="J9" s="203">
        <f>Cost_Analysis!K83</f>
        <v>0</v>
      </c>
      <c r="K9" s="203">
        <f>Cost_Analysis!L83</f>
        <v>0</v>
      </c>
      <c r="L9" s="613">
        <f>Cost_Analysis!M83</f>
        <v>0</v>
      </c>
      <c r="M9" s="22"/>
      <c r="N9" s="215">
        <f>SUM(C9:L9)</f>
        <v>12000</v>
      </c>
    </row>
    <row r="10" spans="1:15" s="13" customFormat="1" ht="17.25" customHeight="1" x14ac:dyDescent="0.2">
      <c r="A10" s="120" t="s">
        <v>124</v>
      </c>
      <c r="B10" s="44" t="s">
        <v>625</v>
      </c>
      <c r="C10" s="207">
        <f>Cost_Analysis!D94</f>
        <v>0</v>
      </c>
      <c r="D10" s="207">
        <f>Cost_Analysis!E94</f>
        <v>0</v>
      </c>
      <c r="E10" s="207">
        <f>Cost_Analysis!F94</f>
        <v>2500</v>
      </c>
      <c r="F10" s="207">
        <f>Cost_Analysis!G94</f>
        <v>2500</v>
      </c>
      <c r="G10" s="207">
        <f>Cost_Analysis!H94</f>
        <v>4000</v>
      </c>
      <c r="H10" s="207">
        <f>Cost_Analysis!I94</f>
        <v>4000</v>
      </c>
      <c r="I10" s="207">
        <f>Cost_Analysis!J94</f>
        <v>4000</v>
      </c>
      <c r="J10" s="207">
        <f>Cost_Analysis!K94</f>
        <v>4000</v>
      </c>
      <c r="K10" s="207">
        <f>Cost_Analysis!L94</f>
        <v>4000</v>
      </c>
      <c r="L10" s="614">
        <f>Cost_Analysis!M94</f>
        <v>4000</v>
      </c>
      <c r="M10" s="22"/>
      <c r="N10" s="216">
        <f>SUM(C10:L10)</f>
        <v>29000</v>
      </c>
    </row>
    <row r="11" spans="1:15" s="13" customFormat="1" ht="17.25" customHeight="1" x14ac:dyDescent="0.2">
      <c r="A11" s="120" t="s">
        <v>126</v>
      </c>
      <c r="B11" s="44" t="s">
        <v>626</v>
      </c>
      <c r="C11" s="207">
        <f>Cost_Analysis!D116</f>
        <v>0</v>
      </c>
      <c r="D11" s="207">
        <f>Cost_Analysis!E116</f>
        <v>0</v>
      </c>
      <c r="E11" s="207">
        <f>Cost_Analysis!F116</f>
        <v>6000</v>
      </c>
      <c r="F11" s="207">
        <f>Cost_Analysis!G116</f>
        <v>6000</v>
      </c>
      <c r="G11" s="207">
        <f>Cost_Analysis!H116</f>
        <v>6000</v>
      </c>
      <c r="H11" s="207">
        <f>Cost_Analysis!I116</f>
        <v>6000</v>
      </c>
      <c r="I11" s="207">
        <f>Cost_Analysis!J116</f>
        <v>6000</v>
      </c>
      <c r="J11" s="207">
        <f>Cost_Analysis!K116</f>
        <v>6000</v>
      </c>
      <c r="K11" s="207">
        <f>Cost_Analysis!L116</f>
        <v>6000</v>
      </c>
      <c r="L11" s="614">
        <f>Cost_Analysis!M116</f>
        <v>6000</v>
      </c>
      <c r="M11" s="22"/>
      <c r="N11" s="216">
        <f>SUM(C11:L11)</f>
        <v>48000</v>
      </c>
    </row>
    <row r="12" spans="1:15" s="13" customFormat="1" ht="17.25" customHeight="1" x14ac:dyDescent="0.2">
      <c r="A12" s="121" t="s">
        <v>128</v>
      </c>
      <c r="B12" s="45" t="s">
        <v>627</v>
      </c>
      <c r="C12" s="211">
        <f>Cost_Analysis!D127</f>
        <v>0</v>
      </c>
      <c r="D12" s="211">
        <f>Cost_Analysis!E127</f>
        <v>0</v>
      </c>
      <c r="E12" s="211">
        <f>Cost_Analysis!F127</f>
        <v>0</v>
      </c>
      <c r="F12" s="211">
        <f>Cost_Analysis!G127</f>
        <v>0</v>
      </c>
      <c r="G12" s="211">
        <f>Cost_Analysis!H127</f>
        <v>0</v>
      </c>
      <c r="H12" s="211">
        <f>Cost_Analysis!I127</f>
        <v>0</v>
      </c>
      <c r="I12" s="211">
        <f>Cost_Analysis!J127</f>
        <v>0</v>
      </c>
      <c r="J12" s="211">
        <f>Cost_Analysis!K127</f>
        <v>0</v>
      </c>
      <c r="K12" s="211">
        <f>Cost_Analysis!L127</f>
        <v>0</v>
      </c>
      <c r="L12" s="615">
        <f>Cost_Analysis!M127</f>
        <v>0</v>
      </c>
      <c r="M12" s="22"/>
      <c r="N12" s="221">
        <f>SUM(C12:L12)</f>
        <v>0</v>
      </c>
    </row>
    <row r="13" spans="1:15" s="145" customFormat="1" ht="17.25" customHeight="1" x14ac:dyDescent="0.2">
      <c r="A13" s="141"/>
      <c r="B13" s="142" t="s">
        <v>602</v>
      </c>
      <c r="C13" s="143"/>
      <c r="D13" s="143"/>
      <c r="E13" s="143"/>
      <c r="F13" s="143"/>
      <c r="G13" s="143"/>
      <c r="H13" s="143"/>
      <c r="I13" s="143"/>
      <c r="J13" s="143"/>
      <c r="K13" s="143"/>
      <c r="L13" s="617"/>
      <c r="M13" s="144"/>
      <c r="N13" s="223"/>
      <c r="O13" s="144"/>
    </row>
    <row r="14" spans="1:15" s="13" customFormat="1" ht="17.25" customHeight="1" x14ac:dyDescent="0.2">
      <c r="A14" s="138" t="s">
        <v>129</v>
      </c>
      <c r="B14" s="39" t="str">
        <f>Instructions!B46</f>
        <v>Project Data Communications</v>
      </c>
      <c r="C14" s="213">
        <f>Cost_Analysis!D140</f>
        <v>0</v>
      </c>
      <c r="D14" s="213">
        <f>Cost_Analysis!E140</f>
        <v>0</v>
      </c>
      <c r="E14" s="213">
        <f>Cost_Analysis!F140</f>
        <v>0</v>
      </c>
      <c r="F14" s="213">
        <f>Cost_Analysis!G140</f>
        <v>0</v>
      </c>
      <c r="G14" s="213">
        <f>Cost_Analysis!H140</f>
        <v>0</v>
      </c>
      <c r="H14" s="213">
        <f>Cost_Analysis!I140</f>
        <v>0</v>
      </c>
      <c r="I14" s="213">
        <f>Cost_Analysis!J140</f>
        <v>0</v>
      </c>
      <c r="J14" s="213">
        <f>Cost_Analysis!K140</f>
        <v>0</v>
      </c>
      <c r="K14" s="213">
        <f>Cost_Analysis!L140</f>
        <v>0</v>
      </c>
      <c r="L14" s="613">
        <f>Cost_Analysis!M140</f>
        <v>0</v>
      </c>
      <c r="M14" s="22"/>
      <c r="N14" s="215">
        <f t="shared" ref="N14:N22" si="1">SUM(C14:L14)</f>
        <v>0</v>
      </c>
    </row>
    <row r="15" spans="1:15" s="13" customFormat="1" ht="17.25" customHeight="1" x14ac:dyDescent="0.2">
      <c r="A15" s="113" t="s">
        <v>130</v>
      </c>
      <c r="B15" s="38" t="str">
        <f>Instructions!B47</f>
        <v>Project Voice Communications</v>
      </c>
      <c r="C15" s="214">
        <f>Cost_Analysis!D141</f>
        <v>0</v>
      </c>
      <c r="D15" s="214">
        <f>Cost_Analysis!E141</f>
        <v>0</v>
      </c>
      <c r="E15" s="214">
        <f>Cost_Analysis!F141</f>
        <v>0</v>
      </c>
      <c r="F15" s="214">
        <f>Cost_Analysis!G141</f>
        <v>0</v>
      </c>
      <c r="G15" s="214">
        <f>Cost_Analysis!H141</f>
        <v>0</v>
      </c>
      <c r="H15" s="214">
        <f>Cost_Analysis!I141</f>
        <v>0</v>
      </c>
      <c r="I15" s="214">
        <f>Cost_Analysis!J141</f>
        <v>0</v>
      </c>
      <c r="J15" s="214">
        <f>Cost_Analysis!K141</f>
        <v>0</v>
      </c>
      <c r="K15" s="214">
        <f>Cost_Analysis!L141</f>
        <v>0</v>
      </c>
      <c r="L15" s="614">
        <f>Cost_Analysis!M141</f>
        <v>0</v>
      </c>
      <c r="M15" s="22"/>
      <c r="N15" s="216">
        <f t="shared" si="1"/>
        <v>0</v>
      </c>
    </row>
    <row r="16" spans="1:15" s="13" customFormat="1" ht="17.25" customHeight="1" x14ac:dyDescent="0.2">
      <c r="A16" s="113" t="s">
        <v>131</v>
      </c>
      <c r="B16" s="38" t="str">
        <f>Instructions!B48</f>
        <v>Project Equipment Rental/Supplies and Materials</v>
      </c>
      <c r="C16" s="214">
        <f>Cost_Analysis!D142</f>
        <v>0</v>
      </c>
      <c r="D16" s="214">
        <f>Cost_Analysis!E142</f>
        <v>0</v>
      </c>
      <c r="E16" s="214">
        <f>Cost_Analysis!F142</f>
        <v>0</v>
      </c>
      <c r="F16" s="214">
        <f>Cost_Analysis!G142</f>
        <v>0</v>
      </c>
      <c r="G16" s="214">
        <f>Cost_Analysis!H142</f>
        <v>0</v>
      </c>
      <c r="H16" s="214">
        <f>Cost_Analysis!I142</f>
        <v>0</v>
      </c>
      <c r="I16" s="214">
        <f>Cost_Analysis!J142</f>
        <v>0</v>
      </c>
      <c r="J16" s="214">
        <f>Cost_Analysis!K142</f>
        <v>0</v>
      </c>
      <c r="K16" s="214">
        <f>Cost_Analysis!L142</f>
        <v>0</v>
      </c>
      <c r="L16" s="614">
        <f>Cost_Analysis!M142</f>
        <v>0</v>
      </c>
      <c r="M16" s="22"/>
      <c r="N16" s="216">
        <f t="shared" si="1"/>
        <v>0</v>
      </c>
    </row>
    <row r="17" spans="1:15" s="13" customFormat="1" ht="17.25" customHeight="1" x14ac:dyDescent="0.2">
      <c r="A17" s="113" t="s">
        <v>132</v>
      </c>
      <c r="B17" s="38" t="str">
        <f>Instructions!B49</f>
        <v>Project Facilities Rental/Maintenance Expenses</v>
      </c>
      <c r="C17" s="214">
        <f>Cost_Analysis!D143</f>
        <v>0</v>
      </c>
      <c r="D17" s="214">
        <f>Cost_Analysis!E143</f>
        <v>0</v>
      </c>
      <c r="E17" s="214">
        <f>Cost_Analysis!F143</f>
        <v>0</v>
      </c>
      <c r="F17" s="214">
        <f>Cost_Analysis!G143</f>
        <v>0</v>
      </c>
      <c r="G17" s="214">
        <f>Cost_Analysis!H143</f>
        <v>0</v>
      </c>
      <c r="H17" s="214">
        <f>Cost_Analysis!I143</f>
        <v>0</v>
      </c>
      <c r="I17" s="214">
        <f>Cost_Analysis!J143</f>
        <v>0</v>
      </c>
      <c r="J17" s="214">
        <f>Cost_Analysis!K143</f>
        <v>0</v>
      </c>
      <c r="K17" s="214">
        <f>Cost_Analysis!L143</f>
        <v>0</v>
      </c>
      <c r="L17" s="614">
        <f>Cost_Analysis!M143</f>
        <v>0</v>
      </c>
      <c r="M17" s="22"/>
      <c r="N17" s="216">
        <f t="shared" si="1"/>
        <v>0</v>
      </c>
    </row>
    <row r="18" spans="1:15" s="13" customFormat="1" ht="17.25" customHeight="1" x14ac:dyDescent="0.2">
      <c r="A18" s="113" t="s">
        <v>133</v>
      </c>
      <c r="B18" s="38" t="str">
        <f>Instructions!B50</f>
        <v>Project Disaster Recovery</v>
      </c>
      <c r="C18" s="214">
        <f>Cost_Analysis!D144</f>
        <v>0</v>
      </c>
      <c r="D18" s="214">
        <f>Cost_Analysis!E144</f>
        <v>0</v>
      </c>
      <c r="E18" s="214">
        <f>Cost_Analysis!F144</f>
        <v>0</v>
      </c>
      <c r="F18" s="214">
        <f>Cost_Analysis!G144</f>
        <v>0</v>
      </c>
      <c r="G18" s="214">
        <f>Cost_Analysis!H144</f>
        <v>0</v>
      </c>
      <c r="H18" s="214">
        <f>Cost_Analysis!I144</f>
        <v>0</v>
      </c>
      <c r="I18" s="214">
        <f>Cost_Analysis!J144</f>
        <v>0</v>
      </c>
      <c r="J18" s="214">
        <f>Cost_Analysis!K144</f>
        <v>0</v>
      </c>
      <c r="K18" s="214">
        <f>Cost_Analysis!L144</f>
        <v>0</v>
      </c>
      <c r="L18" s="614">
        <f>Cost_Analysis!M144</f>
        <v>0</v>
      </c>
      <c r="M18" s="22"/>
      <c r="N18" s="216">
        <f t="shared" si="1"/>
        <v>0</v>
      </c>
    </row>
    <row r="19" spans="1:15" s="13" customFormat="1" ht="17.25" customHeight="1" x14ac:dyDescent="0.2">
      <c r="A19" s="113" t="s">
        <v>134</v>
      </c>
      <c r="B19" s="38" t="str">
        <f>Instructions!B51</f>
        <v>Project Travel</v>
      </c>
      <c r="C19" s="214">
        <f>Cost_Analysis!D145</f>
        <v>0</v>
      </c>
      <c r="D19" s="214">
        <f>Cost_Analysis!E145</f>
        <v>0</v>
      </c>
      <c r="E19" s="214">
        <f>Cost_Analysis!F145</f>
        <v>0</v>
      </c>
      <c r="F19" s="214">
        <f>Cost_Analysis!G145</f>
        <v>0</v>
      </c>
      <c r="G19" s="214">
        <f>Cost_Analysis!H145</f>
        <v>0</v>
      </c>
      <c r="H19" s="214">
        <f>Cost_Analysis!I145</f>
        <v>0</v>
      </c>
      <c r="I19" s="214">
        <f>Cost_Analysis!J145</f>
        <v>0</v>
      </c>
      <c r="J19" s="214">
        <f>Cost_Analysis!K145</f>
        <v>0</v>
      </c>
      <c r="K19" s="214">
        <f>Cost_Analysis!L145</f>
        <v>0</v>
      </c>
      <c r="L19" s="614">
        <f>Cost_Analysis!M145</f>
        <v>0</v>
      </c>
      <c r="M19" s="22"/>
      <c r="N19" s="216">
        <f t="shared" si="1"/>
        <v>0</v>
      </c>
    </row>
    <row r="20" spans="1:15" s="13" customFormat="1" ht="17.25" customHeight="1" x14ac:dyDescent="0.2">
      <c r="A20" s="113" t="s">
        <v>135</v>
      </c>
      <c r="B20" s="38" t="str">
        <f>Instructions!B52</f>
        <v>Project Other Cost</v>
      </c>
      <c r="C20" s="214">
        <f>Cost_Analysis!D146</f>
        <v>0</v>
      </c>
      <c r="D20" s="214">
        <f>Cost_Analysis!E146</f>
        <v>0</v>
      </c>
      <c r="E20" s="214">
        <f>Cost_Analysis!F146</f>
        <v>0</v>
      </c>
      <c r="F20" s="214">
        <f>Cost_Analysis!G146</f>
        <v>0</v>
      </c>
      <c r="G20" s="214">
        <f>Cost_Analysis!H146</f>
        <v>0</v>
      </c>
      <c r="H20" s="214">
        <f>Cost_Analysis!I146</f>
        <v>0</v>
      </c>
      <c r="I20" s="214">
        <f>Cost_Analysis!J146</f>
        <v>0</v>
      </c>
      <c r="J20" s="214">
        <f>Cost_Analysis!K146</f>
        <v>0</v>
      </c>
      <c r="K20" s="214">
        <f>Cost_Analysis!L146</f>
        <v>0</v>
      </c>
      <c r="L20" s="614">
        <f>Cost_Analysis!M146</f>
        <v>0</v>
      </c>
      <c r="M20" s="22"/>
      <c r="N20" s="216">
        <f t="shared" si="1"/>
        <v>0</v>
      </c>
    </row>
    <row r="21" spans="1:15" s="13" customFormat="1" ht="17.25" customHeight="1" x14ac:dyDescent="0.2">
      <c r="A21" s="113" t="s">
        <v>136</v>
      </c>
      <c r="B21" s="38" t="str">
        <f>Instructions!B53</f>
        <v>Project Other Cost</v>
      </c>
      <c r="C21" s="214">
        <f>Cost_Analysis!D147</f>
        <v>0</v>
      </c>
      <c r="D21" s="214">
        <f>Cost_Analysis!E147</f>
        <v>0</v>
      </c>
      <c r="E21" s="214">
        <f>Cost_Analysis!F147</f>
        <v>0</v>
      </c>
      <c r="F21" s="214">
        <f>Cost_Analysis!G147</f>
        <v>0</v>
      </c>
      <c r="G21" s="214">
        <f>Cost_Analysis!H147</f>
        <v>0</v>
      </c>
      <c r="H21" s="214">
        <f>Cost_Analysis!I147</f>
        <v>0</v>
      </c>
      <c r="I21" s="214">
        <f>Cost_Analysis!J147</f>
        <v>0</v>
      </c>
      <c r="J21" s="214">
        <f>Cost_Analysis!K147</f>
        <v>0</v>
      </c>
      <c r="K21" s="214">
        <f>Cost_Analysis!L147</f>
        <v>0</v>
      </c>
      <c r="L21" s="614">
        <f>Cost_Analysis!M147</f>
        <v>0</v>
      </c>
      <c r="M21" s="22"/>
      <c r="N21" s="216">
        <f t="shared" si="1"/>
        <v>0</v>
      </c>
    </row>
    <row r="22" spans="1:15" s="13" customFormat="1" ht="17.25" customHeight="1" x14ac:dyDescent="0.2">
      <c r="A22" s="113" t="s">
        <v>137</v>
      </c>
      <c r="B22" s="38" t="str">
        <f>Instructions!B54</f>
        <v>Project Other Cost</v>
      </c>
      <c r="C22" s="214">
        <f>Cost_Analysis!D148</f>
        <v>0</v>
      </c>
      <c r="D22" s="214">
        <f>Cost_Analysis!E148</f>
        <v>0</v>
      </c>
      <c r="E22" s="214">
        <f>Cost_Analysis!F148</f>
        <v>0</v>
      </c>
      <c r="F22" s="214">
        <f>Cost_Analysis!G148</f>
        <v>0</v>
      </c>
      <c r="G22" s="214">
        <f>Cost_Analysis!H148</f>
        <v>0</v>
      </c>
      <c r="H22" s="214">
        <f>Cost_Analysis!I148</f>
        <v>0</v>
      </c>
      <c r="I22" s="214">
        <f>Cost_Analysis!J148</f>
        <v>0</v>
      </c>
      <c r="J22" s="214">
        <f>Cost_Analysis!K148</f>
        <v>0</v>
      </c>
      <c r="K22" s="214">
        <f>Cost_Analysis!L148</f>
        <v>0</v>
      </c>
      <c r="L22" s="615">
        <f>Cost_Analysis!M148</f>
        <v>0</v>
      </c>
      <c r="M22" s="22"/>
      <c r="N22" s="216">
        <f t="shared" si="1"/>
        <v>0</v>
      </c>
    </row>
    <row r="23" spans="1:15" s="69" customFormat="1" ht="17.25" customHeight="1" x14ac:dyDescent="0.25">
      <c r="A23" s="167" t="s">
        <v>237</v>
      </c>
      <c r="B23" s="168" t="str">
        <f>Instructions!B66</f>
        <v>Total Project Hardware/Software/Other Costs</v>
      </c>
      <c r="C23" s="170">
        <f>SUM(C9:C22)</f>
        <v>12000</v>
      </c>
      <c r="D23" s="171">
        <f t="shared" ref="D23:N23" si="2">SUM(D9:D22)</f>
        <v>0</v>
      </c>
      <c r="E23" s="171">
        <f t="shared" si="2"/>
        <v>8500</v>
      </c>
      <c r="F23" s="171">
        <f t="shared" si="2"/>
        <v>8500</v>
      </c>
      <c r="G23" s="171">
        <f t="shared" si="2"/>
        <v>10000</v>
      </c>
      <c r="H23" s="171">
        <f t="shared" si="2"/>
        <v>10000</v>
      </c>
      <c r="I23" s="171">
        <f t="shared" si="2"/>
        <v>10000</v>
      </c>
      <c r="J23" s="171">
        <f t="shared" si="2"/>
        <v>10000</v>
      </c>
      <c r="K23" s="171">
        <f t="shared" si="2"/>
        <v>10000</v>
      </c>
      <c r="L23" s="172">
        <f t="shared" si="2"/>
        <v>10000</v>
      </c>
      <c r="M23" s="14"/>
      <c r="N23" s="65">
        <f t="shared" si="2"/>
        <v>89000</v>
      </c>
    </row>
    <row r="24" spans="1:15" s="69" customFormat="1" ht="17.25" customHeight="1" x14ac:dyDescent="0.25">
      <c r="A24" s="167" t="s">
        <v>238</v>
      </c>
      <c r="B24" s="168" t="str">
        <f>Instructions!B68</f>
        <v>Subtotal Project Costs</v>
      </c>
      <c r="C24" s="170">
        <f t="shared" ref="C24:L24" si="3">C7+C23</f>
        <v>1080184.0944000001</v>
      </c>
      <c r="D24" s="171">
        <f t="shared" si="3"/>
        <v>765051.51359999995</v>
      </c>
      <c r="E24" s="171">
        <f t="shared" si="3"/>
        <v>549934.36</v>
      </c>
      <c r="F24" s="171">
        <f t="shared" si="3"/>
        <v>549934.36</v>
      </c>
      <c r="G24" s="171">
        <f t="shared" si="3"/>
        <v>102634.36</v>
      </c>
      <c r="H24" s="171">
        <f t="shared" si="3"/>
        <v>102634.36</v>
      </c>
      <c r="I24" s="171">
        <f t="shared" si="3"/>
        <v>102634.36</v>
      </c>
      <c r="J24" s="171">
        <f t="shared" si="3"/>
        <v>102634.36</v>
      </c>
      <c r="K24" s="171">
        <f t="shared" si="3"/>
        <v>102634.36</v>
      </c>
      <c r="L24" s="172">
        <f t="shared" si="3"/>
        <v>102634.36</v>
      </c>
      <c r="M24" s="14"/>
      <c r="N24" s="65">
        <f>N7+N23</f>
        <v>3560910.4879999999</v>
      </c>
    </row>
    <row r="25" spans="1:15" s="69" customFormat="1" ht="33" customHeight="1" x14ac:dyDescent="0.25">
      <c r="A25" s="167" t="s">
        <v>432</v>
      </c>
      <c r="B25" s="618" t="str">
        <f>Instructions!B71</f>
        <v>Project Contingency (% of Subtotal Project Costs)</v>
      </c>
      <c r="C25" s="655">
        <f>Cost_Analysis!D166</f>
        <v>54009.204720000009</v>
      </c>
      <c r="D25" s="656">
        <f>Cost_Analysis!E166</f>
        <v>38252.575680000002</v>
      </c>
      <c r="E25" s="656">
        <f>Cost_Analysis!F166</f>
        <v>0</v>
      </c>
      <c r="F25" s="656">
        <f>Cost_Analysis!G166</f>
        <v>0</v>
      </c>
      <c r="G25" s="656">
        <f>Cost_Analysis!H166</f>
        <v>0</v>
      </c>
      <c r="H25" s="656">
        <f>Cost_Analysis!I166</f>
        <v>0</v>
      </c>
      <c r="I25" s="656">
        <f>Cost_Analysis!J166</f>
        <v>0</v>
      </c>
      <c r="J25" s="656">
        <f>Cost_Analysis!K166</f>
        <v>0</v>
      </c>
      <c r="K25" s="656">
        <f>Cost_Analysis!L166</f>
        <v>0</v>
      </c>
      <c r="L25" s="654">
        <f>Cost_Analysis!M166</f>
        <v>0</v>
      </c>
      <c r="M25" s="14"/>
      <c r="N25" s="65">
        <f>SUM(C25:L25)</f>
        <v>92261.780400000018</v>
      </c>
    </row>
    <row r="26" spans="1:15" s="69" customFormat="1" ht="17.25" customHeight="1" x14ac:dyDescent="0.25">
      <c r="A26" s="167" t="s">
        <v>433</v>
      </c>
      <c r="B26" s="168" t="str">
        <f>Instructions!B74</f>
        <v>Total Project Costs</v>
      </c>
      <c r="C26" s="170">
        <f>SUM(C24:C25)</f>
        <v>1134193.2991200001</v>
      </c>
      <c r="D26" s="171">
        <f t="shared" ref="D26:L26" si="4">SUM(D24:D25)</f>
        <v>803304.08927999996</v>
      </c>
      <c r="E26" s="171">
        <f t="shared" si="4"/>
        <v>549934.36</v>
      </c>
      <c r="F26" s="171">
        <f t="shared" si="4"/>
        <v>549934.36</v>
      </c>
      <c r="G26" s="171">
        <f t="shared" si="4"/>
        <v>102634.36</v>
      </c>
      <c r="H26" s="171">
        <f t="shared" si="4"/>
        <v>102634.36</v>
      </c>
      <c r="I26" s="171">
        <f t="shared" si="4"/>
        <v>102634.36</v>
      </c>
      <c r="J26" s="171">
        <f t="shared" si="4"/>
        <v>102634.36</v>
      </c>
      <c r="K26" s="171">
        <f t="shared" si="4"/>
        <v>102634.36</v>
      </c>
      <c r="L26" s="172">
        <f t="shared" si="4"/>
        <v>102634.36</v>
      </c>
      <c r="M26" s="619"/>
      <c r="N26" s="65">
        <f>SUM(C26:L26)</f>
        <v>3653172.268399999</v>
      </c>
    </row>
    <row r="27" spans="1:15" s="69" customFormat="1" ht="17.25" customHeight="1" thickBot="1" x14ac:dyDescent="0.3">
      <c r="A27" s="620"/>
      <c r="B27" s="621" t="s">
        <v>608</v>
      </c>
      <c r="C27" s="622">
        <f>C26</f>
        <v>1134193.2991200001</v>
      </c>
      <c r="D27" s="623">
        <f>D26+C27</f>
        <v>1937497.3884000001</v>
      </c>
      <c r="E27" s="623">
        <f>E26+D27</f>
        <v>2487431.7483999999</v>
      </c>
      <c r="F27" s="623">
        <f>F26+E27</f>
        <v>3037366.1083999998</v>
      </c>
      <c r="G27" s="623">
        <f t="shared" ref="G27:L27" si="5">G26+F27</f>
        <v>3140000.4683999997</v>
      </c>
      <c r="H27" s="623">
        <f t="shared" si="5"/>
        <v>3242634.8283999995</v>
      </c>
      <c r="I27" s="623">
        <f t="shared" si="5"/>
        <v>3345269.1883999994</v>
      </c>
      <c r="J27" s="623">
        <f t="shared" si="5"/>
        <v>3447903.5483999993</v>
      </c>
      <c r="K27" s="623">
        <f t="shared" si="5"/>
        <v>3550537.9083999991</v>
      </c>
      <c r="L27" s="624">
        <f t="shared" si="5"/>
        <v>3653172.268399999</v>
      </c>
      <c r="M27" s="626"/>
      <c r="N27" s="625">
        <f>L27</f>
        <v>3653172.268399999</v>
      </c>
    </row>
    <row r="28" spans="1:15" s="5" customFormat="1" ht="9.75" customHeight="1" x14ac:dyDescent="0.2"/>
    <row r="29" spans="1:15" s="2" customFormat="1" ht="31.5" customHeight="1" thickBot="1" x14ac:dyDescent="0.25">
      <c r="A29" s="5" t="s">
        <v>601</v>
      </c>
      <c r="B29" s="5"/>
      <c r="C29" s="14"/>
      <c r="D29" s="14"/>
      <c r="E29" s="14"/>
      <c r="F29" s="14"/>
      <c r="G29" s="14"/>
      <c r="H29" s="14"/>
      <c r="I29" s="14"/>
      <c r="J29" s="14"/>
      <c r="K29" s="14"/>
      <c r="M29" s="19"/>
      <c r="N29" s="15"/>
    </row>
    <row r="30" spans="1:15" ht="17.25" customHeight="1" thickBot="1" x14ac:dyDescent="0.25">
      <c r="A30" s="81" t="s">
        <v>89</v>
      </c>
      <c r="B30" s="81" t="s">
        <v>76</v>
      </c>
      <c r="C30" s="82" t="s">
        <v>77</v>
      </c>
      <c r="D30" s="82" t="s">
        <v>78</v>
      </c>
      <c r="E30" s="82" t="s">
        <v>79</v>
      </c>
      <c r="F30" s="82" t="s">
        <v>80</v>
      </c>
      <c r="G30" s="82" t="s">
        <v>81</v>
      </c>
      <c r="H30" s="82" t="s">
        <v>82</v>
      </c>
      <c r="I30" s="82" t="s">
        <v>83</v>
      </c>
      <c r="J30" s="82" t="s">
        <v>84</v>
      </c>
      <c r="K30" s="82" t="s">
        <v>85</v>
      </c>
      <c r="L30" s="83" t="s">
        <v>86</v>
      </c>
      <c r="N30" s="10" t="s">
        <v>88</v>
      </c>
    </row>
    <row r="31" spans="1:15" s="145" customFormat="1" ht="33" customHeight="1" x14ac:dyDescent="0.2">
      <c r="A31" s="141"/>
      <c r="B31" s="142" t="s">
        <v>614</v>
      </c>
      <c r="C31" s="143"/>
      <c r="D31" s="143"/>
      <c r="E31" s="143"/>
      <c r="F31" s="143"/>
      <c r="G31" s="143"/>
      <c r="H31" s="143"/>
      <c r="I31" s="143"/>
      <c r="J31" s="143"/>
      <c r="K31" s="143"/>
      <c r="L31" s="143"/>
      <c r="M31" s="144"/>
      <c r="N31" s="150"/>
      <c r="O31" s="144"/>
    </row>
    <row r="32" spans="1:15" s="13" customFormat="1" ht="17.25" customHeight="1" x14ac:dyDescent="0.2">
      <c r="A32" s="138" t="s">
        <v>467</v>
      </c>
      <c r="B32" s="39" t="str">
        <f>Instructions!B27</f>
        <v>Total Non-Project/Operational Agency Personnel Costs</v>
      </c>
      <c r="C32" s="203">
        <f>Cost_Analysis!D35</f>
        <v>0</v>
      </c>
      <c r="D32" s="203">
        <f>Cost_Analysis!E35</f>
        <v>0</v>
      </c>
      <c r="E32" s="203">
        <f>Cost_Analysis!F35</f>
        <v>0</v>
      </c>
      <c r="F32" s="203">
        <f>Cost_Analysis!G35</f>
        <v>0</v>
      </c>
      <c r="G32" s="203">
        <f>Cost_Analysis!H35</f>
        <v>0</v>
      </c>
      <c r="H32" s="203">
        <f>Cost_Analysis!I35</f>
        <v>0</v>
      </c>
      <c r="I32" s="203">
        <f>Cost_Analysis!J35</f>
        <v>0</v>
      </c>
      <c r="J32" s="203">
        <f>Cost_Analysis!K35</f>
        <v>0</v>
      </c>
      <c r="K32" s="203">
        <f>Cost_Analysis!L35</f>
        <v>0</v>
      </c>
      <c r="L32" s="613">
        <f>Cost_Analysis!M35</f>
        <v>0</v>
      </c>
      <c r="M32" s="22"/>
      <c r="N32" s="215">
        <f>SUM(C32:L32)</f>
        <v>0</v>
      </c>
    </row>
    <row r="33" spans="1:15" s="13" customFormat="1" ht="17.25" customHeight="1" x14ac:dyDescent="0.2">
      <c r="A33" s="113" t="s">
        <v>466</v>
      </c>
      <c r="B33" s="38" t="str">
        <f>Instructions!B26</f>
        <v>Non-Project/Operational Agency Personnel Fringe Benefits</v>
      </c>
      <c r="C33" s="207">
        <f>Cost_Analysis!D36</f>
        <v>0</v>
      </c>
      <c r="D33" s="207">
        <f>Cost_Analysis!E36</f>
        <v>0</v>
      </c>
      <c r="E33" s="207">
        <f>Cost_Analysis!F36</f>
        <v>0</v>
      </c>
      <c r="F33" s="207">
        <f>Cost_Analysis!G36</f>
        <v>0</v>
      </c>
      <c r="G33" s="207">
        <f>Cost_Analysis!H36</f>
        <v>0</v>
      </c>
      <c r="H33" s="207">
        <f>Cost_Analysis!I36</f>
        <v>0</v>
      </c>
      <c r="I33" s="207">
        <f>Cost_Analysis!J36</f>
        <v>0</v>
      </c>
      <c r="J33" s="207">
        <f>Cost_Analysis!K36</f>
        <v>0</v>
      </c>
      <c r="K33" s="207">
        <f>Cost_Analysis!L36</f>
        <v>0</v>
      </c>
      <c r="L33" s="614">
        <f>Cost_Analysis!M36</f>
        <v>0</v>
      </c>
      <c r="M33" s="22"/>
      <c r="N33" s="216">
        <f>SUM(C33:L33)</f>
        <v>0</v>
      </c>
    </row>
    <row r="34" spans="1:15" s="13" customFormat="1" ht="17.25" customHeight="1" x14ac:dyDescent="0.2">
      <c r="A34" s="139" t="s">
        <v>604</v>
      </c>
      <c r="B34" s="40" t="str">
        <f>Instructions!B28</f>
        <v>Project Contract/Consultant Services</v>
      </c>
      <c r="C34" s="211">
        <f>Cost_Analysis!D68</f>
        <v>0</v>
      </c>
      <c r="D34" s="211">
        <f>Cost_Analysis!E68</f>
        <v>0</v>
      </c>
      <c r="E34" s="211">
        <f>Cost_Analysis!F68</f>
        <v>0</v>
      </c>
      <c r="F34" s="211">
        <f>Cost_Analysis!G68</f>
        <v>0</v>
      </c>
      <c r="G34" s="211">
        <f>Cost_Analysis!H68</f>
        <v>0</v>
      </c>
      <c r="H34" s="211">
        <f>Cost_Analysis!I68</f>
        <v>0</v>
      </c>
      <c r="I34" s="211">
        <f>Cost_Analysis!J68</f>
        <v>0</v>
      </c>
      <c r="J34" s="211">
        <f>Cost_Analysis!K68</f>
        <v>0</v>
      </c>
      <c r="K34" s="211">
        <f>Cost_Analysis!L68</f>
        <v>0</v>
      </c>
      <c r="L34" s="615">
        <f>Cost_Analysis!M68</f>
        <v>0</v>
      </c>
      <c r="M34" s="22"/>
      <c r="N34" s="221">
        <f>SUM(C34:L34)</f>
        <v>0</v>
      </c>
    </row>
    <row r="35" spans="1:15" s="69" customFormat="1" ht="34.5" customHeight="1" x14ac:dyDescent="0.25">
      <c r="A35" s="167" t="s">
        <v>477</v>
      </c>
      <c r="B35" s="168" t="str">
        <f>Instructions!B33</f>
        <v>Total Non-Project/Operational Agency and Contract Personnel Costs</v>
      </c>
      <c r="C35" s="170">
        <f>SUM(C32:C34)</f>
        <v>0</v>
      </c>
      <c r="D35" s="170">
        <f t="shared" ref="D35:L35" si="6">SUM(D32:D34)</f>
        <v>0</v>
      </c>
      <c r="E35" s="170">
        <f t="shared" si="6"/>
        <v>0</v>
      </c>
      <c r="F35" s="170">
        <f t="shared" si="6"/>
        <v>0</v>
      </c>
      <c r="G35" s="170">
        <f t="shared" si="6"/>
        <v>0</v>
      </c>
      <c r="H35" s="170">
        <f t="shared" si="6"/>
        <v>0</v>
      </c>
      <c r="I35" s="170">
        <f t="shared" si="6"/>
        <v>0</v>
      </c>
      <c r="J35" s="170">
        <f t="shared" si="6"/>
        <v>0</v>
      </c>
      <c r="K35" s="170">
        <f t="shared" si="6"/>
        <v>0</v>
      </c>
      <c r="L35" s="616">
        <f t="shared" si="6"/>
        <v>0</v>
      </c>
      <c r="M35" s="14"/>
      <c r="N35" s="65">
        <f>SUM(N32:N34)</f>
        <v>0</v>
      </c>
    </row>
    <row r="36" spans="1:15" s="145" customFormat="1" ht="17.25" customHeight="1" x14ac:dyDescent="0.2">
      <c r="A36" s="141"/>
      <c r="B36" s="142" t="s">
        <v>605</v>
      </c>
      <c r="C36" s="143"/>
      <c r="D36" s="143"/>
      <c r="E36" s="143"/>
      <c r="F36" s="143"/>
      <c r="G36" s="143"/>
      <c r="H36" s="143"/>
      <c r="I36" s="143"/>
      <c r="J36" s="143"/>
      <c r="K36" s="143"/>
      <c r="L36" s="617"/>
      <c r="M36" s="144"/>
      <c r="N36" s="223"/>
      <c r="O36" s="144"/>
    </row>
    <row r="37" spans="1:15" s="13" customFormat="1" ht="17.25" customHeight="1" x14ac:dyDescent="0.2">
      <c r="A37" s="120" t="s">
        <v>481</v>
      </c>
      <c r="B37" s="44" t="s">
        <v>606</v>
      </c>
      <c r="C37" s="207">
        <f>Cost_Analysis!D105</f>
        <v>0</v>
      </c>
      <c r="D37" s="207">
        <f>Cost_Analysis!E105</f>
        <v>0</v>
      </c>
      <c r="E37" s="207">
        <f>Cost_Analysis!F105</f>
        <v>0</v>
      </c>
      <c r="F37" s="207">
        <f>Cost_Analysis!G105</f>
        <v>0</v>
      </c>
      <c r="G37" s="207">
        <f>Cost_Analysis!H105</f>
        <v>0</v>
      </c>
      <c r="H37" s="207">
        <f>Cost_Analysis!I105</f>
        <v>0</v>
      </c>
      <c r="I37" s="207">
        <f>Cost_Analysis!J105</f>
        <v>0</v>
      </c>
      <c r="J37" s="207">
        <f>Cost_Analysis!K105</f>
        <v>0</v>
      </c>
      <c r="K37" s="207">
        <f>Cost_Analysis!L105</f>
        <v>0</v>
      </c>
      <c r="L37" s="614">
        <f>Cost_Analysis!M105</f>
        <v>0</v>
      </c>
      <c r="M37" s="22"/>
      <c r="N37" s="216">
        <f>SUM(C37:L37)</f>
        <v>0</v>
      </c>
    </row>
    <row r="38" spans="1:15" s="13" customFormat="1" ht="17.25" customHeight="1" x14ac:dyDescent="0.2">
      <c r="A38" s="121" t="s">
        <v>485</v>
      </c>
      <c r="B38" s="45" t="s">
        <v>484</v>
      </c>
      <c r="C38" s="211">
        <f>Cost_Analysis!D138</f>
        <v>0</v>
      </c>
      <c r="D38" s="211">
        <f>Cost_Analysis!E138</f>
        <v>0</v>
      </c>
      <c r="E38" s="211">
        <f>Cost_Analysis!F138</f>
        <v>0</v>
      </c>
      <c r="F38" s="211">
        <f>Cost_Analysis!G138</f>
        <v>0</v>
      </c>
      <c r="G38" s="211">
        <f>Cost_Analysis!H138</f>
        <v>0</v>
      </c>
      <c r="H38" s="211">
        <f>Cost_Analysis!I138</f>
        <v>0</v>
      </c>
      <c r="I38" s="211">
        <f>Cost_Analysis!J138</f>
        <v>0</v>
      </c>
      <c r="J38" s="211">
        <f>Cost_Analysis!K138</f>
        <v>0</v>
      </c>
      <c r="K38" s="211">
        <f>Cost_Analysis!L138</f>
        <v>0</v>
      </c>
      <c r="L38" s="615">
        <f>Cost_Analysis!M138</f>
        <v>0</v>
      </c>
      <c r="M38" s="22"/>
      <c r="N38" s="221">
        <f>SUM(C38:L38)</f>
        <v>0</v>
      </c>
    </row>
    <row r="39" spans="1:15" s="145" customFormat="1" ht="17.25" customHeight="1" x14ac:dyDescent="0.2">
      <c r="A39" s="141"/>
      <c r="B39" s="142" t="s">
        <v>607</v>
      </c>
      <c r="C39" s="143"/>
      <c r="D39" s="143"/>
      <c r="E39" s="143"/>
      <c r="F39" s="143"/>
      <c r="G39" s="143"/>
      <c r="H39" s="143"/>
      <c r="I39" s="143"/>
      <c r="J39" s="143"/>
      <c r="K39" s="143"/>
      <c r="L39" s="617"/>
      <c r="M39" s="144"/>
      <c r="N39" s="223"/>
      <c r="O39" s="144"/>
    </row>
    <row r="40" spans="1:15" s="13" customFormat="1" ht="17.25" customHeight="1" x14ac:dyDescent="0.2">
      <c r="A40" s="138" t="s">
        <v>490</v>
      </c>
      <c r="B40" s="39" t="str">
        <f>Instructions!B56</f>
        <v>Non-Project/Operational Data Communications</v>
      </c>
      <c r="C40" s="213">
        <f>Cost_Analysis!D151</f>
        <v>0</v>
      </c>
      <c r="D40" s="213">
        <f>Cost_Analysis!E151</f>
        <v>0</v>
      </c>
      <c r="E40" s="213">
        <f>Cost_Analysis!F151</f>
        <v>0</v>
      </c>
      <c r="F40" s="213">
        <f>Cost_Analysis!G151</f>
        <v>0</v>
      </c>
      <c r="G40" s="213">
        <f>Cost_Analysis!H151</f>
        <v>0</v>
      </c>
      <c r="H40" s="213">
        <f>Cost_Analysis!I151</f>
        <v>0</v>
      </c>
      <c r="I40" s="213">
        <f>Cost_Analysis!J151</f>
        <v>0</v>
      </c>
      <c r="J40" s="213">
        <f>Cost_Analysis!K151</f>
        <v>0</v>
      </c>
      <c r="K40" s="213">
        <f>Cost_Analysis!L151</f>
        <v>0</v>
      </c>
      <c r="L40" s="613">
        <f>Cost_Analysis!M151</f>
        <v>0</v>
      </c>
      <c r="M40" s="22"/>
      <c r="N40" s="215">
        <f t="shared" ref="N40:N48" si="7">SUM(C40:L40)</f>
        <v>0</v>
      </c>
    </row>
    <row r="41" spans="1:15" s="13" customFormat="1" ht="17.25" customHeight="1" x14ac:dyDescent="0.2">
      <c r="A41" s="113" t="s">
        <v>491</v>
      </c>
      <c r="B41" s="38" t="str">
        <f>Instructions!B57</f>
        <v>Non-Project/Operational Voice Communications</v>
      </c>
      <c r="C41" s="214">
        <f>Cost_Analysis!D152</f>
        <v>0</v>
      </c>
      <c r="D41" s="214">
        <f>Cost_Analysis!E152</f>
        <v>0</v>
      </c>
      <c r="E41" s="214">
        <f>Cost_Analysis!F152</f>
        <v>0</v>
      </c>
      <c r="F41" s="214">
        <f>Cost_Analysis!G152</f>
        <v>0</v>
      </c>
      <c r="G41" s="214">
        <f>Cost_Analysis!H152</f>
        <v>0</v>
      </c>
      <c r="H41" s="214">
        <f>Cost_Analysis!I152</f>
        <v>0</v>
      </c>
      <c r="I41" s="214">
        <f>Cost_Analysis!J152</f>
        <v>0</v>
      </c>
      <c r="J41" s="214">
        <f>Cost_Analysis!K152</f>
        <v>0</v>
      </c>
      <c r="K41" s="214">
        <f>Cost_Analysis!L152</f>
        <v>0</v>
      </c>
      <c r="L41" s="614">
        <f>Cost_Analysis!M152</f>
        <v>0</v>
      </c>
      <c r="M41" s="22"/>
      <c r="N41" s="216">
        <f t="shared" si="7"/>
        <v>0</v>
      </c>
    </row>
    <row r="42" spans="1:15" s="13" customFormat="1" ht="31.5" customHeight="1" x14ac:dyDescent="0.2">
      <c r="A42" s="113" t="s">
        <v>492</v>
      </c>
      <c r="B42" s="38" t="str">
        <f>Instructions!B58</f>
        <v>Non-Project/Operational Equipment Rental/Supplies and Materials</v>
      </c>
      <c r="C42" s="214">
        <f>Cost_Analysis!D153</f>
        <v>0</v>
      </c>
      <c r="D42" s="214">
        <f>Cost_Analysis!E153</f>
        <v>0</v>
      </c>
      <c r="E42" s="214">
        <f>Cost_Analysis!F153</f>
        <v>0</v>
      </c>
      <c r="F42" s="214">
        <f>Cost_Analysis!G153</f>
        <v>0</v>
      </c>
      <c r="G42" s="214">
        <f>Cost_Analysis!H153</f>
        <v>0</v>
      </c>
      <c r="H42" s="214">
        <f>Cost_Analysis!I153</f>
        <v>0</v>
      </c>
      <c r="I42" s="214">
        <f>Cost_Analysis!J153</f>
        <v>0</v>
      </c>
      <c r="J42" s="214">
        <f>Cost_Analysis!K153</f>
        <v>0</v>
      </c>
      <c r="K42" s="214">
        <f>Cost_Analysis!L153</f>
        <v>0</v>
      </c>
      <c r="L42" s="614">
        <f>Cost_Analysis!M153</f>
        <v>0</v>
      </c>
      <c r="M42" s="22"/>
      <c r="N42" s="216">
        <f t="shared" si="7"/>
        <v>0</v>
      </c>
    </row>
    <row r="43" spans="1:15" s="13" customFormat="1" ht="31.5" customHeight="1" x14ac:dyDescent="0.2">
      <c r="A43" s="113" t="s">
        <v>493</v>
      </c>
      <c r="B43" s="38" t="str">
        <f>Instructions!B59</f>
        <v>Non-Project/Operational Facilities Rental/Maintenance Expenses</v>
      </c>
      <c r="C43" s="214">
        <f>Cost_Analysis!D154</f>
        <v>0</v>
      </c>
      <c r="D43" s="214">
        <f>Cost_Analysis!E154</f>
        <v>0</v>
      </c>
      <c r="E43" s="214">
        <f>Cost_Analysis!F154</f>
        <v>0</v>
      </c>
      <c r="F43" s="214">
        <f>Cost_Analysis!G154</f>
        <v>0</v>
      </c>
      <c r="G43" s="214">
        <f>Cost_Analysis!H154</f>
        <v>0</v>
      </c>
      <c r="H43" s="214">
        <f>Cost_Analysis!I154</f>
        <v>0</v>
      </c>
      <c r="I43" s="214">
        <f>Cost_Analysis!J154</f>
        <v>0</v>
      </c>
      <c r="J43" s="214">
        <f>Cost_Analysis!K154</f>
        <v>0</v>
      </c>
      <c r="K43" s="214">
        <f>Cost_Analysis!L154</f>
        <v>0</v>
      </c>
      <c r="L43" s="614">
        <f>Cost_Analysis!M154</f>
        <v>0</v>
      </c>
      <c r="M43" s="22"/>
      <c r="N43" s="216">
        <f t="shared" si="7"/>
        <v>0</v>
      </c>
    </row>
    <row r="44" spans="1:15" s="13" customFormat="1" ht="17.25" customHeight="1" x14ac:dyDescent="0.2">
      <c r="A44" s="113" t="s">
        <v>494</v>
      </c>
      <c r="B44" s="38" t="str">
        <f>Instructions!B60</f>
        <v>Non-Project/Operational Disaster Recovery</v>
      </c>
      <c r="C44" s="214">
        <f>Cost_Analysis!D155</f>
        <v>0</v>
      </c>
      <c r="D44" s="214">
        <f>Cost_Analysis!E155</f>
        <v>0</v>
      </c>
      <c r="E44" s="214">
        <f>Cost_Analysis!F155</f>
        <v>0</v>
      </c>
      <c r="F44" s="214">
        <f>Cost_Analysis!G155</f>
        <v>0</v>
      </c>
      <c r="G44" s="214">
        <f>Cost_Analysis!H155</f>
        <v>0</v>
      </c>
      <c r="H44" s="214">
        <f>Cost_Analysis!I155</f>
        <v>0</v>
      </c>
      <c r="I44" s="214">
        <f>Cost_Analysis!J155</f>
        <v>0</v>
      </c>
      <c r="J44" s="214">
        <f>Cost_Analysis!K155</f>
        <v>0</v>
      </c>
      <c r="K44" s="214">
        <f>Cost_Analysis!L155</f>
        <v>0</v>
      </c>
      <c r="L44" s="614">
        <f>Cost_Analysis!M155</f>
        <v>0</v>
      </c>
      <c r="M44" s="22"/>
      <c r="N44" s="216">
        <f t="shared" si="7"/>
        <v>0</v>
      </c>
    </row>
    <row r="45" spans="1:15" s="13" customFormat="1" ht="17.25" customHeight="1" x14ac:dyDescent="0.2">
      <c r="A45" s="113" t="s">
        <v>495</v>
      </c>
      <c r="B45" s="38" t="str">
        <f>Instructions!B61</f>
        <v>Non-Project/Operational Travel</v>
      </c>
      <c r="C45" s="214">
        <f>Cost_Analysis!D156</f>
        <v>0</v>
      </c>
      <c r="D45" s="214">
        <f>Cost_Analysis!E156</f>
        <v>0</v>
      </c>
      <c r="E45" s="214">
        <f>Cost_Analysis!F156</f>
        <v>0</v>
      </c>
      <c r="F45" s="214">
        <f>Cost_Analysis!G156</f>
        <v>0</v>
      </c>
      <c r="G45" s="214">
        <f>Cost_Analysis!H156</f>
        <v>0</v>
      </c>
      <c r="H45" s="214">
        <f>Cost_Analysis!I156</f>
        <v>0</v>
      </c>
      <c r="I45" s="214">
        <f>Cost_Analysis!J156</f>
        <v>0</v>
      </c>
      <c r="J45" s="214">
        <f>Cost_Analysis!K156</f>
        <v>0</v>
      </c>
      <c r="K45" s="214">
        <f>Cost_Analysis!L156</f>
        <v>0</v>
      </c>
      <c r="L45" s="614">
        <f>Cost_Analysis!M156</f>
        <v>0</v>
      </c>
      <c r="M45" s="22"/>
      <c r="N45" s="216">
        <f t="shared" si="7"/>
        <v>0</v>
      </c>
    </row>
    <row r="46" spans="1:15" s="13" customFormat="1" ht="17.25" customHeight="1" x14ac:dyDescent="0.2">
      <c r="A46" s="113" t="s">
        <v>496</v>
      </c>
      <c r="B46" s="38" t="str">
        <f>Instructions!B62</f>
        <v>Non-Project/Operational Other Cost</v>
      </c>
      <c r="C46" s="214">
        <f>Cost_Analysis!D157</f>
        <v>0</v>
      </c>
      <c r="D46" s="214">
        <f>Cost_Analysis!E157</f>
        <v>0</v>
      </c>
      <c r="E46" s="214">
        <f>Cost_Analysis!F157</f>
        <v>0</v>
      </c>
      <c r="F46" s="214">
        <f>Cost_Analysis!G157</f>
        <v>0</v>
      </c>
      <c r="G46" s="214">
        <f>Cost_Analysis!H157</f>
        <v>0</v>
      </c>
      <c r="H46" s="214">
        <f>Cost_Analysis!I157</f>
        <v>0</v>
      </c>
      <c r="I46" s="214">
        <f>Cost_Analysis!J157</f>
        <v>0</v>
      </c>
      <c r="J46" s="214">
        <f>Cost_Analysis!K157</f>
        <v>0</v>
      </c>
      <c r="K46" s="214">
        <f>Cost_Analysis!L157</f>
        <v>0</v>
      </c>
      <c r="L46" s="614">
        <f>Cost_Analysis!M157</f>
        <v>0</v>
      </c>
      <c r="M46" s="22"/>
      <c r="N46" s="216">
        <f t="shared" si="7"/>
        <v>0</v>
      </c>
    </row>
    <row r="47" spans="1:15" s="13" customFormat="1" ht="17.25" customHeight="1" x14ac:dyDescent="0.2">
      <c r="A47" s="113" t="s">
        <v>497</v>
      </c>
      <c r="B47" s="38" t="str">
        <f>Instructions!B63</f>
        <v>Non-Project/Operational Other Cost</v>
      </c>
      <c r="C47" s="214">
        <f>Cost_Analysis!D158</f>
        <v>0</v>
      </c>
      <c r="D47" s="214">
        <f>Cost_Analysis!E158</f>
        <v>0</v>
      </c>
      <c r="E47" s="214">
        <f>Cost_Analysis!F158</f>
        <v>0</v>
      </c>
      <c r="F47" s="214">
        <f>Cost_Analysis!G158</f>
        <v>0</v>
      </c>
      <c r="G47" s="214">
        <f>Cost_Analysis!H158</f>
        <v>0</v>
      </c>
      <c r="H47" s="214">
        <f>Cost_Analysis!I158</f>
        <v>0</v>
      </c>
      <c r="I47" s="214">
        <f>Cost_Analysis!J158</f>
        <v>0</v>
      </c>
      <c r="J47" s="214">
        <f>Cost_Analysis!K158</f>
        <v>0</v>
      </c>
      <c r="K47" s="214">
        <f>Cost_Analysis!L158</f>
        <v>0</v>
      </c>
      <c r="L47" s="614">
        <f>Cost_Analysis!M158</f>
        <v>0</v>
      </c>
      <c r="M47" s="22"/>
      <c r="N47" s="216">
        <f t="shared" si="7"/>
        <v>0</v>
      </c>
    </row>
    <row r="48" spans="1:15" s="13" customFormat="1" ht="17.25" customHeight="1" x14ac:dyDescent="0.2">
      <c r="A48" s="113" t="s">
        <v>498</v>
      </c>
      <c r="B48" s="38" t="str">
        <f>Instructions!B64</f>
        <v>Non-Project/Operational Other Cost</v>
      </c>
      <c r="C48" s="214">
        <f>Cost_Analysis!D159</f>
        <v>0</v>
      </c>
      <c r="D48" s="214">
        <f>Cost_Analysis!E159</f>
        <v>0</v>
      </c>
      <c r="E48" s="214">
        <f>Cost_Analysis!F159</f>
        <v>0</v>
      </c>
      <c r="F48" s="214">
        <f>Cost_Analysis!G159</f>
        <v>0</v>
      </c>
      <c r="G48" s="214">
        <f>Cost_Analysis!H159</f>
        <v>0</v>
      </c>
      <c r="H48" s="214">
        <f>Cost_Analysis!I159</f>
        <v>0</v>
      </c>
      <c r="I48" s="214">
        <f>Cost_Analysis!J159</f>
        <v>0</v>
      </c>
      <c r="J48" s="214">
        <f>Cost_Analysis!K159</f>
        <v>0</v>
      </c>
      <c r="K48" s="214">
        <f>Cost_Analysis!L159</f>
        <v>0</v>
      </c>
      <c r="L48" s="615">
        <f>Cost_Analysis!M159</f>
        <v>0</v>
      </c>
      <c r="M48" s="22"/>
      <c r="N48" s="216">
        <f t="shared" si="7"/>
        <v>0</v>
      </c>
    </row>
    <row r="49" spans="1:15" s="69" customFormat="1" ht="32.25" customHeight="1" x14ac:dyDescent="0.25">
      <c r="A49" s="167" t="s">
        <v>501</v>
      </c>
      <c r="B49" s="168" t="str">
        <f>Instructions!B67</f>
        <v>Total Non-Project/Operational Hardware/Software/Other Costs</v>
      </c>
      <c r="C49" s="170">
        <f t="shared" ref="C49:L49" si="8">SUM(C37:C48)</f>
        <v>0</v>
      </c>
      <c r="D49" s="171">
        <f t="shared" si="8"/>
        <v>0</v>
      </c>
      <c r="E49" s="171">
        <f t="shared" si="8"/>
        <v>0</v>
      </c>
      <c r="F49" s="171">
        <f t="shared" si="8"/>
        <v>0</v>
      </c>
      <c r="G49" s="171">
        <f t="shared" si="8"/>
        <v>0</v>
      </c>
      <c r="H49" s="171">
        <f t="shared" si="8"/>
        <v>0</v>
      </c>
      <c r="I49" s="171">
        <f t="shared" si="8"/>
        <v>0</v>
      </c>
      <c r="J49" s="171">
        <f t="shared" si="8"/>
        <v>0</v>
      </c>
      <c r="K49" s="171">
        <f t="shared" si="8"/>
        <v>0</v>
      </c>
      <c r="L49" s="172">
        <f t="shared" si="8"/>
        <v>0</v>
      </c>
      <c r="M49" s="14"/>
      <c r="N49" s="65">
        <f>SUM(N37:N48)</f>
        <v>0</v>
      </c>
    </row>
    <row r="50" spans="1:15" s="69" customFormat="1" ht="17.25" customHeight="1" x14ac:dyDescent="0.25">
      <c r="A50" s="167" t="s">
        <v>503</v>
      </c>
      <c r="B50" s="168" t="str">
        <f>Instructions!B69</f>
        <v>Subtotal Non-Project/Operational Costs</v>
      </c>
      <c r="C50" s="170">
        <f t="shared" ref="C50:L50" si="9">C35+C49</f>
        <v>0</v>
      </c>
      <c r="D50" s="171">
        <f t="shared" si="9"/>
        <v>0</v>
      </c>
      <c r="E50" s="171">
        <f t="shared" si="9"/>
        <v>0</v>
      </c>
      <c r="F50" s="171">
        <f t="shared" si="9"/>
        <v>0</v>
      </c>
      <c r="G50" s="171">
        <f t="shared" si="9"/>
        <v>0</v>
      </c>
      <c r="H50" s="171">
        <f t="shared" si="9"/>
        <v>0</v>
      </c>
      <c r="I50" s="171">
        <f t="shared" si="9"/>
        <v>0</v>
      </c>
      <c r="J50" s="171">
        <f t="shared" si="9"/>
        <v>0</v>
      </c>
      <c r="K50" s="171">
        <f t="shared" si="9"/>
        <v>0</v>
      </c>
      <c r="L50" s="172">
        <f t="shared" si="9"/>
        <v>0</v>
      </c>
      <c r="M50" s="14"/>
      <c r="N50" s="65">
        <f>N35+N49</f>
        <v>0</v>
      </c>
    </row>
    <row r="51" spans="1:15" s="69" customFormat="1" ht="33" customHeight="1" x14ac:dyDescent="0.25">
      <c r="A51" s="167" t="s">
        <v>505</v>
      </c>
      <c r="B51" s="627" t="str">
        <f>Instructions!B73</f>
        <v>Non-Project Contingency (% of Subtotal Non-Project/Operational Costs)</v>
      </c>
      <c r="C51" s="655">
        <f>Cost_Analysis!D168</f>
        <v>0</v>
      </c>
      <c r="D51" s="656">
        <f>Cost_Analysis!E168</f>
        <v>0</v>
      </c>
      <c r="E51" s="656">
        <f>Cost_Analysis!F168</f>
        <v>0</v>
      </c>
      <c r="F51" s="656">
        <f>Cost_Analysis!G168</f>
        <v>0</v>
      </c>
      <c r="G51" s="656">
        <f>Cost_Analysis!H168</f>
        <v>0</v>
      </c>
      <c r="H51" s="656">
        <f>Cost_Analysis!I168</f>
        <v>0</v>
      </c>
      <c r="I51" s="656">
        <f>Cost_Analysis!J168</f>
        <v>0</v>
      </c>
      <c r="J51" s="656">
        <f>Cost_Analysis!K168</f>
        <v>0</v>
      </c>
      <c r="K51" s="656">
        <f>Cost_Analysis!L168</f>
        <v>0</v>
      </c>
      <c r="L51" s="654">
        <f>Cost_Analysis!M168</f>
        <v>0</v>
      </c>
      <c r="M51" s="14"/>
      <c r="N51" s="65">
        <f>SUM(C51:L51)</f>
        <v>0</v>
      </c>
    </row>
    <row r="52" spans="1:15" s="69" customFormat="1" ht="17.25" customHeight="1" x14ac:dyDescent="0.25">
      <c r="A52" s="630" t="s">
        <v>506</v>
      </c>
      <c r="B52" s="168" t="str">
        <f>Instructions!B75</f>
        <v>Total Non-Project/Operational Costs</v>
      </c>
      <c r="C52" s="170">
        <f>SUM(C50:C51)</f>
        <v>0</v>
      </c>
      <c r="D52" s="171">
        <f t="shared" ref="D52:L52" si="10">SUM(D50:D51)</f>
        <v>0</v>
      </c>
      <c r="E52" s="171">
        <f t="shared" si="10"/>
        <v>0</v>
      </c>
      <c r="F52" s="171">
        <f t="shared" si="10"/>
        <v>0</v>
      </c>
      <c r="G52" s="171">
        <f t="shared" si="10"/>
        <v>0</v>
      </c>
      <c r="H52" s="171">
        <f t="shared" si="10"/>
        <v>0</v>
      </c>
      <c r="I52" s="171">
        <f t="shared" si="10"/>
        <v>0</v>
      </c>
      <c r="J52" s="171">
        <f t="shared" si="10"/>
        <v>0</v>
      </c>
      <c r="K52" s="171">
        <f t="shared" si="10"/>
        <v>0</v>
      </c>
      <c r="L52" s="172">
        <f t="shared" si="10"/>
        <v>0</v>
      </c>
      <c r="M52" s="628"/>
      <c r="N52" s="65">
        <f>SUM(C52:L52)</f>
        <v>0</v>
      </c>
    </row>
    <row r="53" spans="1:15" s="69" customFormat="1" ht="17.25" customHeight="1" thickBot="1" x14ac:dyDescent="0.3">
      <c r="A53" s="629"/>
      <c r="B53" s="621" t="s">
        <v>609</v>
      </c>
      <c r="C53" s="622">
        <f>C52</f>
        <v>0</v>
      </c>
      <c r="D53" s="623">
        <f>D52+C53</f>
        <v>0</v>
      </c>
      <c r="E53" s="623">
        <f>E52+D53</f>
        <v>0</v>
      </c>
      <c r="F53" s="623">
        <f>F52+E53</f>
        <v>0</v>
      </c>
      <c r="G53" s="623">
        <f t="shared" ref="G53" si="11">G52+F53</f>
        <v>0</v>
      </c>
      <c r="H53" s="623">
        <f t="shared" ref="H53" si="12">H52+G53</f>
        <v>0</v>
      </c>
      <c r="I53" s="623">
        <f t="shared" ref="I53" si="13">I52+H53</f>
        <v>0</v>
      </c>
      <c r="J53" s="623">
        <f t="shared" ref="J53" si="14">J52+I53</f>
        <v>0</v>
      </c>
      <c r="K53" s="623">
        <f t="shared" ref="K53" si="15">K52+J53</f>
        <v>0</v>
      </c>
      <c r="L53" s="624">
        <f t="shared" ref="L53" si="16">L52+K53</f>
        <v>0</v>
      </c>
      <c r="M53" s="626"/>
      <c r="N53" s="625">
        <f>L53</f>
        <v>0</v>
      </c>
    </row>
    <row r="54" spans="1:15" s="5" customFormat="1" ht="9.75" customHeight="1" x14ac:dyDescent="0.2"/>
    <row r="55" spans="1:15" s="2" customFormat="1" ht="31.5" customHeight="1" thickBot="1" x14ac:dyDescent="0.25">
      <c r="A55" s="5" t="s">
        <v>102</v>
      </c>
      <c r="B55" s="5"/>
      <c r="C55" s="14"/>
      <c r="D55" s="14"/>
      <c r="E55" s="14"/>
      <c r="F55" s="14"/>
      <c r="G55" s="14"/>
      <c r="H55" s="14"/>
      <c r="I55" s="14"/>
      <c r="J55" s="14"/>
      <c r="K55" s="14"/>
      <c r="M55" s="19"/>
      <c r="N55" s="15"/>
    </row>
    <row r="56" spans="1:15" s="69" customFormat="1" ht="15.75" thickBot="1" x14ac:dyDescent="0.25">
      <c r="A56" s="137" t="s">
        <v>89</v>
      </c>
      <c r="B56" s="136" t="s">
        <v>76</v>
      </c>
      <c r="C56" s="75" t="s">
        <v>77</v>
      </c>
      <c r="D56" s="75" t="s">
        <v>78</v>
      </c>
      <c r="E56" s="75" t="s">
        <v>79</v>
      </c>
      <c r="F56" s="75" t="s">
        <v>80</v>
      </c>
      <c r="G56" s="75" t="s">
        <v>81</v>
      </c>
      <c r="H56" s="75" t="s">
        <v>82</v>
      </c>
      <c r="I56" s="75" t="s">
        <v>83</v>
      </c>
      <c r="J56" s="75" t="s">
        <v>84</v>
      </c>
      <c r="K56" s="75" t="s">
        <v>85</v>
      </c>
      <c r="L56" s="76" t="s">
        <v>86</v>
      </c>
      <c r="M56" s="19"/>
      <c r="N56" s="10" t="s">
        <v>88</v>
      </c>
    </row>
    <row r="57" spans="1:15" s="145" customFormat="1" ht="17.25" customHeight="1" x14ac:dyDescent="0.2">
      <c r="A57" s="141"/>
      <c r="B57" s="142" t="s">
        <v>233</v>
      </c>
      <c r="C57" s="143"/>
      <c r="D57" s="143"/>
      <c r="E57" s="143"/>
      <c r="F57" s="143"/>
      <c r="G57" s="143"/>
      <c r="H57" s="143"/>
      <c r="I57" s="143"/>
      <c r="J57" s="143"/>
      <c r="K57" s="143"/>
      <c r="L57" s="143"/>
      <c r="M57" s="14"/>
      <c r="N57" s="150"/>
      <c r="O57" s="144"/>
    </row>
    <row r="58" spans="1:15" s="69" customFormat="1" ht="17.25" customHeight="1" x14ac:dyDescent="0.2">
      <c r="A58" s="154" t="s">
        <v>214</v>
      </c>
      <c r="B58" s="155" t="s">
        <v>294</v>
      </c>
      <c r="C58" s="203">
        <f>Quantitative_Benefit_Analysis!D19</f>
        <v>0</v>
      </c>
      <c r="D58" s="204">
        <f>Quantitative_Benefit_Analysis!E19</f>
        <v>0</v>
      </c>
      <c r="E58" s="205">
        <f>Quantitative_Benefit_Analysis!F19</f>
        <v>17100000</v>
      </c>
      <c r="F58" s="204">
        <f>Quantitative_Benefit_Analysis!G19</f>
        <v>17100000</v>
      </c>
      <c r="G58" s="205">
        <f>Quantitative_Benefit_Analysis!H19</f>
        <v>17100000</v>
      </c>
      <c r="H58" s="204">
        <f>Quantitative_Benefit_Analysis!I19</f>
        <v>17100000</v>
      </c>
      <c r="I58" s="205">
        <f>Quantitative_Benefit_Analysis!J19</f>
        <v>17100000</v>
      </c>
      <c r="J58" s="204">
        <f>Quantitative_Benefit_Analysis!K19</f>
        <v>17100000</v>
      </c>
      <c r="K58" s="205">
        <f>Quantitative_Benefit_Analysis!L19</f>
        <v>17100000</v>
      </c>
      <c r="L58" s="206">
        <f>Quantitative_Benefit_Analysis!M19</f>
        <v>17100000</v>
      </c>
      <c r="M58" s="14"/>
      <c r="N58" s="25">
        <f t="shared" ref="N58:N64" si="17">SUM(C58:L58)</f>
        <v>136800000</v>
      </c>
    </row>
    <row r="59" spans="1:15" s="69" customFormat="1" ht="17.25" customHeight="1" x14ac:dyDescent="0.2">
      <c r="A59" s="160" t="s">
        <v>223</v>
      </c>
      <c r="B59" s="157" t="s">
        <v>298</v>
      </c>
      <c r="C59" s="207">
        <f>Quantitative_Benefit_Analysis!D30</f>
        <v>0</v>
      </c>
      <c r="D59" s="208">
        <f>Quantitative_Benefit_Analysis!E30</f>
        <v>0</v>
      </c>
      <c r="E59" s="209">
        <f>Quantitative_Benefit_Analysis!F30</f>
        <v>0</v>
      </c>
      <c r="F59" s="208">
        <f>Quantitative_Benefit_Analysis!G30</f>
        <v>0</v>
      </c>
      <c r="G59" s="209">
        <f>Quantitative_Benefit_Analysis!H30</f>
        <v>0</v>
      </c>
      <c r="H59" s="208">
        <f>Quantitative_Benefit_Analysis!I30</f>
        <v>0</v>
      </c>
      <c r="I59" s="209">
        <f>Quantitative_Benefit_Analysis!J30</f>
        <v>0</v>
      </c>
      <c r="J59" s="208">
        <f>Quantitative_Benefit_Analysis!K30</f>
        <v>0</v>
      </c>
      <c r="K59" s="209">
        <f>Quantitative_Benefit_Analysis!L30</f>
        <v>0</v>
      </c>
      <c r="L59" s="210">
        <f>Quantitative_Benefit_Analysis!M30</f>
        <v>0</v>
      </c>
      <c r="M59" s="14"/>
      <c r="N59" s="26">
        <f t="shared" si="17"/>
        <v>0</v>
      </c>
    </row>
    <row r="60" spans="1:15" s="69" customFormat="1" ht="17.25" customHeight="1" x14ac:dyDescent="0.2">
      <c r="A60" s="161" t="s">
        <v>230</v>
      </c>
      <c r="B60" s="159" t="s">
        <v>87</v>
      </c>
      <c r="C60" s="207">
        <f>Quantitative_Benefit_Analysis!D39</f>
        <v>0</v>
      </c>
      <c r="D60" s="208">
        <f>Quantitative_Benefit_Analysis!E39</f>
        <v>0</v>
      </c>
      <c r="E60" s="209">
        <f>Quantitative_Benefit_Analysis!F39</f>
        <v>0</v>
      </c>
      <c r="F60" s="208">
        <f>Quantitative_Benefit_Analysis!G39</f>
        <v>0</v>
      </c>
      <c r="G60" s="209">
        <f>Quantitative_Benefit_Analysis!H39</f>
        <v>0</v>
      </c>
      <c r="H60" s="208">
        <f>Quantitative_Benefit_Analysis!I39</f>
        <v>0</v>
      </c>
      <c r="I60" s="209">
        <f>Quantitative_Benefit_Analysis!J39</f>
        <v>0</v>
      </c>
      <c r="J60" s="208">
        <f>Quantitative_Benefit_Analysis!K39</f>
        <v>0</v>
      </c>
      <c r="K60" s="209">
        <f>Quantitative_Benefit_Analysis!L39</f>
        <v>0</v>
      </c>
      <c r="L60" s="212">
        <f>Quantitative_Benefit_Analysis!M39</f>
        <v>0</v>
      </c>
      <c r="M60" s="14"/>
      <c r="N60" s="26">
        <f t="shared" si="17"/>
        <v>0</v>
      </c>
    </row>
    <row r="61" spans="1:15" s="69" customFormat="1" ht="17.25" customHeight="1" x14ac:dyDescent="0.25">
      <c r="A61" s="167" t="s">
        <v>231</v>
      </c>
      <c r="B61" s="168" t="s">
        <v>178</v>
      </c>
      <c r="C61" s="169">
        <f>SUM(C58:C60)</f>
        <v>0</v>
      </c>
      <c r="D61" s="169">
        <f t="shared" ref="D61:L61" si="18">SUM(D58:D60)</f>
        <v>0</v>
      </c>
      <c r="E61" s="169">
        <f t="shared" si="18"/>
        <v>17100000</v>
      </c>
      <c r="F61" s="169">
        <f t="shared" si="18"/>
        <v>17100000</v>
      </c>
      <c r="G61" s="169">
        <f t="shared" si="18"/>
        <v>17100000</v>
      </c>
      <c r="H61" s="169">
        <f t="shared" si="18"/>
        <v>17100000</v>
      </c>
      <c r="I61" s="169">
        <f t="shared" si="18"/>
        <v>17100000</v>
      </c>
      <c r="J61" s="169">
        <f t="shared" si="18"/>
        <v>17100000</v>
      </c>
      <c r="K61" s="169">
        <f t="shared" si="18"/>
        <v>17100000</v>
      </c>
      <c r="L61" s="62">
        <f t="shared" si="18"/>
        <v>17100000</v>
      </c>
      <c r="M61" s="14"/>
      <c r="N61" s="65">
        <f>SUM(N58:N60)</f>
        <v>136800000</v>
      </c>
    </row>
    <row r="62" spans="1:15" s="69" customFormat="1" ht="17.25" customHeight="1" x14ac:dyDescent="0.25">
      <c r="A62" s="167" t="s">
        <v>232</v>
      </c>
      <c r="B62" s="168" t="s">
        <v>177</v>
      </c>
      <c r="C62" s="169">
        <f>C61</f>
        <v>0</v>
      </c>
      <c r="D62" s="169">
        <f t="shared" ref="D62:L62" si="19">C62+D61</f>
        <v>0</v>
      </c>
      <c r="E62" s="169">
        <f t="shared" si="19"/>
        <v>17100000</v>
      </c>
      <c r="F62" s="169">
        <f t="shared" si="19"/>
        <v>34200000</v>
      </c>
      <c r="G62" s="169">
        <f t="shared" si="19"/>
        <v>51300000</v>
      </c>
      <c r="H62" s="169">
        <f t="shared" si="19"/>
        <v>68400000</v>
      </c>
      <c r="I62" s="169">
        <f t="shared" si="19"/>
        <v>85500000</v>
      </c>
      <c r="J62" s="169">
        <f t="shared" si="19"/>
        <v>102600000</v>
      </c>
      <c r="K62" s="169">
        <f t="shared" si="19"/>
        <v>119700000</v>
      </c>
      <c r="L62" s="62">
        <f t="shared" si="19"/>
        <v>136800000</v>
      </c>
      <c r="M62" s="14"/>
      <c r="N62" s="65">
        <f>L62</f>
        <v>136800000</v>
      </c>
    </row>
    <row r="63" spans="1:15" s="144" customFormat="1" ht="17.25" customHeight="1" x14ac:dyDescent="0.2">
      <c r="A63" s="146"/>
      <c r="B63" s="147" t="s">
        <v>303</v>
      </c>
      <c r="C63" s="148"/>
      <c r="D63" s="148"/>
      <c r="E63" s="148"/>
      <c r="F63" s="148"/>
      <c r="G63" s="148"/>
      <c r="H63" s="148"/>
      <c r="I63" s="148"/>
      <c r="J63" s="148"/>
      <c r="K63" s="148"/>
      <c r="L63" s="148"/>
      <c r="M63" s="14"/>
      <c r="N63" s="149"/>
    </row>
    <row r="64" spans="1:15" s="69" customFormat="1" ht="17.25" customHeight="1" x14ac:dyDescent="0.2">
      <c r="A64" s="154" t="s">
        <v>306</v>
      </c>
      <c r="B64" s="155" t="s">
        <v>191</v>
      </c>
      <c r="C64" s="203">
        <f>Quantitative_Benefit_Analysis!D56</f>
        <v>0</v>
      </c>
      <c r="D64" s="204">
        <f>Quantitative_Benefit_Analysis!E56</f>
        <v>0</v>
      </c>
      <c r="E64" s="205">
        <f>Quantitative_Benefit_Analysis!F56</f>
        <v>75927884.615384623</v>
      </c>
      <c r="F64" s="204">
        <f>Quantitative_Benefit_Analysis!G56</f>
        <v>75927884.615384623</v>
      </c>
      <c r="G64" s="205">
        <f>Quantitative_Benefit_Analysis!H56</f>
        <v>75927884.615384623</v>
      </c>
      <c r="H64" s="204">
        <f>Quantitative_Benefit_Analysis!I56</f>
        <v>75927884.615384623</v>
      </c>
      <c r="I64" s="205">
        <f>Quantitative_Benefit_Analysis!J56</f>
        <v>75927884.615384623</v>
      </c>
      <c r="J64" s="204">
        <f>Quantitative_Benefit_Analysis!K56</f>
        <v>75927884.615384623</v>
      </c>
      <c r="K64" s="205">
        <f>Quantitative_Benefit_Analysis!L56</f>
        <v>75927884.615384623</v>
      </c>
      <c r="L64" s="206">
        <f>Quantitative_Benefit_Analysis!M56</f>
        <v>75927884.615384623</v>
      </c>
      <c r="M64" s="14"/>
      <c r="N64" s="25">
        <f t="shared" si="17"/>
        <v>607423076.92307699</v>
      </c>
    </row>
    <row r="65" spans="1:14" s="69" customFormat="1" ht="17.25" customHeight="1" x14ac:dyDescent="0.2">
      <c r="A65" s="156" t="s">
        <v>318</v>
      </c>
      <c r="B65" s="157" t="s">
        <v>192</v>
      </c>
      <c r="C65" s="207">
        <f>Quantitative_Benefit_Analysis!D67</f>
        <v>0</v>
      </c>
      <c r="D65" s="208">
        <f>Quantitative_Benefit_Analysis!E67</f>
        <v>0</v>
      </c>
      <c r="E65" s="209">
        <f>Quantitative_Benefit_Analysis!F67</f>
        <v>0</v>
      </c>
      <c r="F65" s="208">
        <f>Quantitative_Benefit_Analysis!G67</f>
        <v>0</v>
      </c>
      <c r="G65" s="209">
        <f>Quantitative_Benefit_Analysis!H67</f>
        <v>0</v>
      </c>
      <c r="H65" s="208">
        <f>Quantitative_Benefit_Analysis!I67</f>
        <v>0</v>
      </c>
      <c r="I65" s="209">
        <f>Quantitative_Benefit_Analysis!J67</f>
        <v>0</v>
      </c>
      <c r="J65" s="208">
        <f>Quantitative_Benefit_Analysis!K67</f>
        <v>0</v>
      </c>
      <c r="K65" s="209">
        <f>Quantitative_Benefit_Analysis!L67</f>
        <v>0</v>
      </c>
      <c r="L65" s="210">
        <f>Quantitative_Benefit_Analysis!M67</f>
        <v>0</v>
      </c>
      <c r="M65" s="14"/>
      <c r="N65" s="26">
        <f>SUM(C65:L65)</f>
        <v>0</v>
      </c>
    </row>
    <row r="66" spans="1:14" s="69" customFormat="1" ht="17.25" customHeight="1" x14ac:dyDescent="0.2">
      <c r="A66" s="158" t="s">
        <v>333</v>
      </c>
      <c r="B66" s="159" t="s">
        <v>193</v>
      </c>
      <c r="C66" s="207">
        <f>Quantitative_Benefit_Analysis!D75</f>
        <v>0</v>
      </c>
      <c r="D66" s="208">
        <f>Quantitative_Benefit_Analysis!E75</f>
        <v>0</v>
      </c>
      <c r="E66" s="209">
        <f>Quantitative_Benefit_Analysis!F75</f>
        <v>0</v>
      </c>
      <c r="F66" s="208">
        <f>Quantitative_Benefit_Analysis!G75</f>
        <v>0</v>
      </c>
      <c r="G66" s="209">
        <f>Quantitative_Benefit_Analysis!H75</f>
        <v>0</v>
      </c>
      <c r="H66" s="208">
        <f>Quantitative_Benefit_Analysis!I75</f>
        <v>0</v>
      </c>
      <c r="I66" s="209">
        <f>Quantitative_Benefit_Analysis!J75</f>
        <v>0</v>
      </c>
      <c r="J66" s="208">
        <f>Quantitative_Benefit_Analysis!K75</f>
        <v>0</v>
      </c>
      <c r="K66" s="209">
        <f>Quantitative_Benefit_Analysis!L75</f>
        <v>0</v>
      </c>
      <c r="L66" s="212">
        <f>Quantitative_Benefit_Analysis!M75</f>
        <v>0</v>
      </c>
      <c r="M66" s="14"/>
      <c r="N66" s="26">
        <f>SUM(C66:L66)</f>
        <v>0</v>
      </c>
    </row>
    <row r="67" spans="1:14" s="69" customFormat="1" ht="17.25" customHeight="1" x14ac:dyDescent="0.25">
      <c r="A67" s="167" t="s">
        <v>334</v>
      </c>
      <c r="B67" s="168" t="s">
        <v>179</v>
      </c>
      <c r="C67" s="170">
        <f t="shared" ref="C67:L67" si="20">SUM(C64:C66)</f>
        <v>0</v>
      </c>
      <c r="D67" s="171">
        <f t="shared" si="20"/>
        <v>0</v>
      </c>
      <c r="E67" s="171">
        <f t="shared" si="20"/>
        <v>75927884.615384623</v>
      </c>
      <c r="F67" s="171">
        <f t="shared" si="20"/>
        <v>75927884.615384623</v>
      </c>
      <c r="G67" s="171">
        <f t="shared" si="20"/>
        <v>75927884.615384623</v>
      </c>
      <c r="H67" s="171">
        <f t="shared" si="20"/>
        <v>75927884.615384623</v>
      </c>
      <c r="I67" s="171">
        <f t="shared" si="20"/>
        <v>75927884.615384623</v>
      </c>
      <c r="J67" s="171">
        <f t="shared" si="20"/>
        <v>75927884.615384623</v>
      </c>
      <c r="K67" s="171">
        <f t="shared" si="20"/>
        <v>75927884.615384623</v>
      </c>
      <c r="L67" s="172">
        <f t="shared" si="20"/>
        <v>75927884.615384623</v>
      </c>
      <c r="M67" s="14"/>
      <c r="N67" s="65">
        <f>SUM(N64:N66)</f>
        <v>607423076.92307699</v>
      </c>
    </row>
    <row r="68" spans="1:14" s="69" customFormat="1" ht="17.25" customHeight="1" thickBot="1" x14ac:dyDescent="0.3">
      <c r="A68" s="620" t="s">
        <v>181</v>
      </c>
      <c r="B68" s="477" t="s">
        <v>180</v>
      </c>
      <c r="C68" s="478">
        <f>C67</f>
        <v>0</v>
      </c>
      <c r="D68" s="479">
        <f t="shared" ref="D68:L68" si="21">C68+D67</f>
        <v>0</v>
      </c>
      <c r="E68" s="479">
        <f t="shared" si="21"/>
        <v>75927884.615384623</v>
      </c>
      <c r="F68" s="479">
        <f t="shared" si="21"/>
        <v>151855769.23076925</v>
      </c>
      <c r="G68" s="479">
        <f t="shared" si="21"/>
        <v>227783653.84615386</v>
      </c>
      <c r="H68" s="479">
        <f t="shared" si="21"/>
        <v>303711538.46153849</v>
      </c>
      <c r="I68" s="479">
        <f t="shared" si="21"/>
        <v>379639423.07692313</v>
      </c>
      <c r="J68" s="479">
        <f t="shared" si="21"/>
        <v>455567307.69230777</v>
      </c>
      <c r="K68" s="479">
        <f t="shared" si="21"/>
        <v>531495192.30769241</v>
      </c>
      <c r="L68" s="480">
        <f t="shared" si="21"/>
        <v>607423076.92307699</v>
      </c>
      <c r="M68" s="14"/>
      <c r="N68" s="64">
        <f>L68</f>
        <v>607423076.92307699</v>
      </c>
    </row>
    <row r="69" spans="1:14" s="5" customFormat="1" ht="9.75" customHeight="1" x14ac:dyDescent="0.2"/>
    <row r="70" spans="1:14" s="5" customFormat="1" ht="18" customHeight="1" x14ac:dyDescent="0.2"/>
    <row r="71" spans="1:14" s="5" customFormat="1" ht="18" customHeight="1" x14ac:dyDescent="0.2"/>
    <row r="72" spans="1:14" s="69" customFormat="1" ht="18" customHeight="1" x14ac:dyDescent="0.2">
      <c r="A72" s="243"/>
      <c r="B72" s="243"/>
      <c r="C72" s="244"/>
      <c r="D72" s="244"/>
      <c r="E72" s="244"/>
      <c r="F72" s="244"/>
      <c r="G72" s="244"/>
      <c r="H72" s="244"/>
      <c r="I72" s="244"/>
      <c r="J72" s="244"/>
      <c r="K72" s="244"/>
      <c r="L72" s="244"/>
      <c r="M72" s="19"/>
      <c r="N72" s="20"/>
    </row>
    <row r="73" spans="1:14" s="2" customFormat="1" ht="31.5" customHeight="1" thickBot="1" x14ac:dyDescent="0.25">
      <c r="A73" s="5" t="s">
        <v>346</v>
      </c>
      <c r="B73" s="5"/>
      <c r="C73" s="14"/>
      <c r="D73" s="14"/>
      <c r="E73" s="14"/>
      <c r="F73" s="14"/>
      <c r="G73" s="14"/>
      <c r="H73" s="14"/>
      <c r="I73" s="14"/>
      <c r="J73" s="14"/>
      <c r="K73" s="14"/>
      <c r="M73" s="19"/>
      <c r="N73" s="15"/>
    </row>
    <row r="74" spans="1:14" s="164" customFormat="1" ht="45" customHeight="1" x14ac:dyDescent="0.25">
      <c r="A74" s="186" t="s">
        <v>89</v>
      </c>
      <c r="B74" s="186" t="s">
        <v>40</v>
      </c>
      <c r="C74" s="185" t="s">
        <v>442</v>
      </c>
      <c r="D74" s="185" t="s">
        <v>281</v>
      </c>
      <c r="E74" s="14"/>
      <c r="F74" s="14"/>
      <c r="G74" s="14"/>
      <c r="H74" s="14"/>
      <c r="I74" s="14"/>
      <c r="J74" s="330"/>
      <c r="K74" s="330"/>
      <c r="L74" s="330"/>
      <c r="M74" s="330"/>
      <c r="N74" s="330"/>
    </row>
    <row r="75" spans="1:14" s="164" customFormat="1" ht="25.5" customHeight="1" x14ac:dyDescent="0.2">
      <c r="A75" s="331" t="s">
        <v>168</v>
      </c>
      <c r="B75" s="328" t="s">
        <v>42</v>
      </c>
      <c r="C75" s="329">
        <v>35</v>
      </c>
      <c r="D75" s="329">
        <f>Evaluation_Factors!C14</f>
        <v>21</v>
      </c>
      <c r="E75" s="14"/>
      <c r="F75" s="14"/>
      <c r="G75" s="14"/>
      <c r="H75" s="14"/>
      <c r="I75" s="14"/>
      <c r="J75" s="330"/>
      <c r="K75" s="330" t="s">
        <v>73</v>
      </c>
      <c r="L75" s="332"/>
      <c r="M75" s="330"/>
      <c r="N75" s="330"/>
    </row>
    <row r="76" spans="1:14" s="164" customFormat="1" ht="25.5" customHeight="1" x14ac:dyDescent="0.2">
      <c r="A76" s="331" t="s">
        <v>169</v>
      </c>
      <c r="B76" s="328" t="s">
        <v>41</v>
      </c>
      <c r="C76" s="329">
        <v>45</v>
      </c>
      <c r="D76" s="329">
        <f>Evaluation_Factors!C26</f>
        <v>27</v>
      </c>
      <c r="E76" s="14"/>
      <c r="F76" s="14"/>
      <c r="G76" s="14"/>
      <c r="H76" s="14"/>
      <c r="I76" s="14"/>
      <c r="J76" s="330"/>
      <c r="K76" s="330" t="s">
        <v>73</v>
      </c>
      <c r="L76" s="332"/>
      <c r="M76" s="330"/>
      <c r="N76" s="330"/>
    </row>
    <row r="77" spans="1:14" s="164" customFormat="1" ht="25.5" customHeight="1" x14ac:dyDescent="0.2">
      <c r="A77" s="331" t="s">
        <v>170</v>
      </c>
      <c r="B77" s="328" t="s">
        <v>341</v>
      </c>
      <c r="C77" s="329">
        <v>35</v>
      </c>
      <c r="D77" s="329">
        <f>Evaluation_Factors!C37</f>
        <v>21</v>
      </c>
      <c r="E77" s="14"/>
      <c r="F77" s="14"/>
      <c r="G77" s="14"/>
      <c r="H77" s="14"/>
      <c r="I77" s="14"/>
      <c r="J77" s="330"/>
      <c r="K77" s="330" t="s">
        <v>73</v>
      </c>
      <c r="L77" s="332"/>
      <c r="M77" s="330"/>
      <c r="N77" s="330"/>
    </row>
    <row r="78" spans="1:14" s="164" customFormat="1" ht="25.5" customHeight="1" x14ac:dyDescent="0.2">
      <c r="A78" s="331" t="s">
        <v>171</v>
      </c>
      <c r="B78" s="328" t="s">
        <v>337</v>
      </c>
      <c r="C78" s="329">
        <v>60</v>
      </c>
      <c r="D78" s="329">
        <f>Evaluation_Factors!C52</f>
        <v>36</v>
      </c>
      <c r="E78" s="14"/>
      <c r="F78" s="14"/>
      <c r="G78" s="14"/>
      <c r="H78" s="14"/>
      <c r="I78" s="14"/>
      <c r="J78" s="330"/>
      <c r="K78" s="330" t="s">
        <v>73</v>
      </c>
      <c r="L78" s="332"/>
      <c r="M78" s="330"/>
      <c r="N78" s="330"/>
    </row>
    <row r="79" spans="1:14" s="164" customFormat="1" ht="25.5" customHeight="1" x14ac:dyDescent="0.2">
      <c r="A79" s="331" t="s">
        <v>352</v>
      </c>
      <c r="B79" s="328" t="s">
        <v>351</v>
      </c>
      <c r="C79" s="329">
        <v>45</v>
      </c>
      <c r="D79" s="329">
        <f>Evaluation_Factors!C64</f>
        <v>27</v>
      </c>
      <c r="E79" s="14"/>
      <c r="F79" s="14"/>
      <c r="G79" s="14"/>
      <c r="H79" s="14"/>
      <c r="I79" s="14"/>
      <c r="J79" s="330"/>
      <c r="K79" s="330" t="s">
        <v>73</v>
      </c>
      <c r="L79" s="332"/>
      <c r="M79" s="330"/>
      <c r="N79" s="330"/>
    </row>
    <row r="80" spans="1:14" s="164" customFormat="1" ht="25.5" customHeight="1" x14ac:dyDescent="0.2">
      <c r="A80" s="331" t="s">
        <v>172</v>
      </c>
      <c r="B80" s="328" t="s">
        <v>106</v>
      </c>
      <c r="C80" s="329">
        <v>30</v>
      </c>
      <c r="D80" s="329">
        <f>Evaluation_Factors!C73</f>
        <v>18</v>
      </c>
      <c r="E80" s="14"/>
      <c r="F80" s="14"/>
      <c r="G80" s="14"/>
      <c r="H80" s="14"/>
      <c r="I80" s="14"/>
      <c r="J80" s="330"/>
      <c r="K80" s="330" t="s">
        <v>73</v>
      </c>
      <c r="L80" s="332"/>
      <c r="M80" s="330"/>
      <c r="N80" s="330"/>
    </row>
    <row r="81" spans="1:14" s="164" customFormat="1" ht="25.5" customHeight="1" thickBot="1" x14ac:dyDescent="0.3">
      <c r="A81" s="184"/>
      <c r="B81" s="189" t="s">
        <v>23</v>
      </c>
      <c r="C81" s="245">
        <f>SUM(C75:C80)</f>
        <v>250</v>
      </c>
      <c r="D81" s="245">
        <f>SUM(D75:D80)</f>
        <v>150</v>
      </c>
      <c r="E81" s="14"/>
      <c r="F81" s="14"/>
      <c r="G81" s="14"/>
      <c r="H81" s="14"/>
      <c r="I81" s="14"/>
      <c r="J81" s="330"/>
      <c r="K81" s="330" t="s">
        <v>73</v>
      </c>
      <c r="L81" s="332"/>
      <c r="M81" s="330"/>
      <c r="N81" s="330"/>
    </row>
    <row r="82" spans="1:14" x14ac:dyDescent="0.2">
      <c r="D82" s="14"/>
      <c r="E82" s="14"/>
      <c r="F82" s="14"/>
      <c r="G82" s="14"/>
      <c r="H82" s="14"/>
      <c r="I82" s="14"/>
    </row>
  </sheetData>
  <sheetProtection password="CC7C" sheet="1" objects="1" scenarios="1"/>
  <customSheetViews>
    <customSheetView guid="{4F1DA828-56A9-4F85-92B4-9F65C862495B}" scale="70" showGridLines="0" fitToPage="1">
      <pane ySplit="2" topLeftCell="A3" activePane="bottomLeft" state="frozen"/>
      <selection pane="bottomLeft" activeCell="C23" sqref="C23"/>
      <rowBreaks count="1" manualBreakCount="1">
        <brk id="28" max="13" man="1"/>
      </rowBreaks>
      <pageMargins left="0.5" right="0.5" top="0.65" bottom="0.65" header="0.3" footer="0.26"/>
      <pageSetup paperSize="5" scale="76" fitToHeight="0" orientation="landscape" r:id="rId1"/>
      <headerFooter alignWithMargins="0">
        <oddHeader>&amp;L&amp;10[Agency/Organization Name]
[Project Name]&amp;R&amp;10BUSINESS CASE
[Version Number] [Revision Date]</oddHeader>
        <oddFooter>&amp;L&amp;10Based on
DIR Document 10BC-W1-9&amp;C&amp;10Page &amp;P of &amp;N&amp;R&amp;10Business Justification</oddFooter>
      </headerFooter>
    </customSheetView>
    <customSheetView guid="{7AC71C8E-3F0A-447A-859A-02DD2BAED197}" scale="75" showGridLines="0" fitToPage="1" showRuler="0" topLeftCell="A30">
      <selection activeCell="C43" sqref="C43"/>
      <pageMargins left="0.35" right="0.35" top="0.52" bottom="0.52" header="0.35" footer="0.26"/>
      <pageSetup paperSize="5" scale="78" fitToHeight="0" orientation="landscape" r:id="rId2"/>
      <headerFooter alignWithMargins="0">
        <oddHeader>&amp;L&amp;10&lt;Agency name&gt; &amp;C&amp;"Arial,Bold"Project Cost-Benefit Summary&amp;R&amp;10&lt;Project Name&gt;</oddHeader>
        <oddFooter>&amp;L&amp;F&amp;CPage &amp;P of &amp;N&amp;R&amp;D &amp;T</oddFooter>
      </headerFooter>
    </customSheetView>
  </customSheetViews>
  <phoneticPr fontId="0" type="noConversion"/>
  <pageMargins left="0.5" right="0.5" top="0.65" bottom="0.65" header="0.3" footer="0.26"/>
  <pageSetup scale="99" fitToHeight="0" orientation="landscape" cellComments="asDisplayed" r:id="rId3"/>
  <headerFooter alignWithMargins="0">
    <oddHeader>&amp;L&amp;10[Agency/Organization Name]
[Project Name]&amp;R&amp;10BUSINESS CASE WORKBOOK 
[Version Number] [Revision Date mm/dd/yy]</oddHeader>
    <oddFooter>&amp;L&amp;10Based on DIR Document 10BC-W2-2&amp;C&amp;10&amp;K000000Page &amp;P of &amp;N&amp;R&amp;10Business Justification</oddFooter>
  </headerFooter>
  <rowBreaks count="2" manualBreakCount="2">
    <brk id="27" max="16383" man="1"/>
    <brk id="54" max="13" man="1"/>
  </rowBreaks>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9"/>
  </sheetPr>
  <dimension ref="A1:N277"/>
  <sheetViews>
    <sheetView showGridLines="0" zoomScale="75" zoomScaleNormal="75" zoomScalePageLayoutView="64" workbookViewId="0">
      <selection activeCell="P8" sqref="P8"/>
    </sheetView>
  </sheetViews>
  <sheetFormatPr defaultColWidth="9" defaultRowHeight="14.25" x14ac:dyDescent="0.2"/>
  <cols>
    <col min="1" max="1" width="6" style="8" customWidth="1"/>
    <col min="2" max="2" width="49.625" style="8" customWidth="1"/>
    <col min="3" max="6" width="12.75" style="8" customWidth="1"/>
    <col min="7" max="7" width="13.25" style="8" customWidth="1"/>
    <col min="8" max="8" width="13.375" style="8" customWidth="1"/>
    <col min="9" max="9" width="13.75" style="8" customWidth="1"/>
    <col min="10" max="10" width="12.75" style="8" customWidth="1"/>
    <col min="11" max="11" width="13.375" style="8" customWidth="1"/>
    <col min="12" max="12" width="14.125" style="8" customWidth="1"/>
    <col min="13" max="13" width="1.75" style="19" customWidth="1"/>
    <col min="14" max="14" width="14.25" style="15" customWidth="1"/>
    <col min="15" max="16384" width="9" style="8"/>
  </cols>
  <sheetData>
    <row r="1" spans="1:14" s="2" customFormat="1" ht="31.5" customHeight="1" x14ac:dyDescent="0.2">
      <c r="A1" s="5" t="s">
        <v>737</v>
      </c>
      <c r="B1" s="5"/>
      <c r="C1" s="14"/>
      <c r="D1" s="14"/>
      <c r="E1" s="14"/>
      <c r="F1" s="14"/>
      <c r="G1" s="14"/>
      <c r="H1" s="14"/>
      <c r="I1" s="14"/>
      <c r="J1" s="14"/>
      <c r="K1" s="14"/>
      <c r="M1" s="19"/>
      <c r="N1" s="15"/>
    </row>
    <row r="2" spans="1:14" s="2" customFormat="1" ht="29.25" customHeight="1" thickBot="1" x14ac:dyDescent="0.25">
      <c r="A2" s="182" t="s">
        <v>343</v>
      </c>
      <c r="B2" s="5"/>
      <c r="C2" s="68"/>
      <c r="D2" s="68"/>
      <c r="E2" s="68"/>
      <c r="F2" s="68"/>
      <c r="G2" s="69"/>
      <c r="H2" s="241" t="s">
        <v>75</v>
      </c>
      <c r="I2" s="242">
        <v>0.05</v>
      </c>
      <c r="J2" s="3"/>
      <c r="K2" s="3"/>
      <c r="L2" s="3"/>
      <c r="M2" s="3"/>
      <c r="N2" s="4"/>
    </row>
    <row r="3" spans="1:14" ht="16.5" customHeight="1" thickBot="1" x14ac:dyDescent="0.25">
      <c r="A3" s="81" t="s">
        <v>89</v>
      </c>
      <c r="B3" s="81" t="s">
        <v>76</v>
      </c>
      <c r="C3" s="82" t="s">
        <v>77</v>
      </c>
      <c r="D3" s="82" t="s">
        <v>78</v>
      </c>
      <c r="E3" s="82" t="s">
        <v>79</v>
      </c>
      <c r="F3" s="82" t="s">
        <v>80</v>
      </c>
      <c r="G3" s="82" t="s">
        <v>81</v>
      </c>
      <c r="H3" s="82" t="s">
        <v>82</v>
      </c>
      <c r="I3" s="82" t="s">
        <v>83</v>
      </c>
      <c r="J3" s="82" t="s">
        <v>84</v>
      </c>
      <c r="K3" s="82" t="s">
        <v>85</v>
      </c>
      <c r="L3" s="83" t="s">
        <v>86</v>
      </c>
      <c r="N3" s="10" t="s">
        <v>88</v>
      </c>
    </row>
    <row r="4" spans="1:14" s="69" customFormat="1" ht="16.5" customHeight="1" x14ac:dyDescent="0.2">
      <c r="A4" s="304" t="s">
        <v>145</v>
      </c>
      <c r="B4" s="271" t="s">
        <v>32</v>
      </c>
      <c r="C4" s="272">
        <f>'Cost-Benefit_Summary'!C61</f>
        <v>0</v>
      </c>
      <c r="D4" s="273">
        <f>'Cost-Benefit_Summary'!D61</f>
        <v>0</v>
      </c>
      <c r="E4" s="273">
        <f>'Cost-Benefit_Summary'!E61</f>
        <v>17100000</v>
      </c>
      <c r="F4" s="273">
        <f>'Cost-Benefit_Summary'!F61</f>
        <v>17100000</v>
      </c>
      <c r="G4" s="273">
        <f>'Cost-Benefit_Summary'!G61</f>
        <v>17100000</v>
      </c>
      <c r="H4" s="273">
        <f>'Cost-Benefit_Summary'!H61</f>
        <v>17100000</v>
      </c>
      <c r="I4" s="273">
        <f>'Cost-Benefit_Summary'!I61</f>
        <v>17100000</v>
      </c>
      <c r="J4" s="273">
        <f>'Cost-Benefit_Summary'!J61</f>
        <v>17100000</v>
      </c>
      <c r="K4" s="273">
        <f>'Cost-Benefit_Summary'!K61</f>
        <v>17100000</v>
      </c>
      <c r="L4" s="274">
        <f>'Cost-Benefit_Summary'!L61</f>
        <v>17100000</v>
      </c>
      <c r="M4" s="275"/>
      <c r="N4" s="276">
        <f>SUM(C4:L4)</f>
        <v>136800000</v>
      </c>
    </row>
    <row r="5" spans="1:14" s="69" customFormat="1" ht="16.5" customHeight="1" x14ac:dyDescent="0.2">
      <c r="A5" s="304" t="s">
        <v>146</v>
      </c>
      <c r="B5" s="271" t="str">
        <f>Instructions!B136</f>
        <v>Business Case Cost (Cash Outflow)</v>
      </c>
      <c r="C5" s="272">
        <f>-Cost_Analysis!D171</f>
        <v>-1134193.2991200001</v>
      </c>
      <c r="D5" s="273">
        <f>-Cost_Analysis!E171</f>
        <v>-803304.08927999996</v>
      </c>
      <c r="E5" s="273">
        <f>-Cost_Analysis!F171</f>
        <v>-549934.36</v>
      </c>
      <c r="F5" s="273">
        <f>-Cost_Analysis!G171</f>
        <v>-549934.36</v>
      </c>
      <c r="G5" s="273">
        <f>-Cost_Analysis!H171</f>
        <v>-102634.36</v>
      </c>
      <c r="H5" s="273">
        <f>-Cost_Analysis!I171</f>
        <v>-102634.36</v>
      </c>
      <c r="I5" s="273">
        <f>-Cost_Analysis!J171</f>
        <v>-102634.36</v>
      </c>
      <c r="J5" s="273">
        <f>-Cost_Analysis!K171</f>
        <v>-102634.36</v>
      </c>
      <c r="K5" s="273">
        <f>-Cost_Analysis!L171</f>
        <v>-102634.36</v>
      </c>
      <c r="L5" s="274">
        <f>-Cost_Analysis!M171</f>
        <v>-102634.36</v>
      </c>
      <c r="M5" s="275"/>
      <c r="N5" s="276">
        <f>SUM(C5:L5)</f>
        <v>-3653172.268399999</v>
      </c>
    </row>
    <row r="6" spans="1:14" s="69" customFormat="1" ht="16.5" customHeight="1" x14ac:dyDescent="0.2">
      <c r="A6" s="304" t="s">
        <v>147</v>
      </c>
      <c r="B6" s="271" t="s">
        <v>25</v>
      </c>
      <c r="C6" s="277">
        <f>SUM(C4:C5)</f>
        <v>-1134193.2991200001</v>
      </c>
      <c r="D6" s="278">
        <f>SUM(D4:D5)</f>
        <v>-803304.08927999996</v>
      </c>
      <c r="E6" s="278">
        <f>SUM(E4:E5)</f>
        <v>16550065.640000001</v>
      </c>
      <c r="F6" s="278">
        <f>SUM(F4:F5)</f>
        <v>16550065.640000001</v>
      </c>
      <c r="G6" s="278">
        <f t="shared" ref="G6:L6" si="0">SUM(G4:G5)</f>
        <v>16997365.640000001</v>
      </c>
      <c r="H6" s="278">
        <f t="shared" si="0"/>
        <v>16997365.640000001</v>
      </c>
      <c r="I6" s="278">
        <f t="shared" si="0"/>
        <v>16997365.640000001</v>
      </c>
      <c r="J6" s="278">
        <f t="shared" si="0"/>
        <v>16997365.640000001</v>
      </c>
      <c r="K6" s="278">
        <f t="shared" si="0"/>
        <v>16997365.640000001</v>
      </c>
      <c r="L6" s="279">
        <f t="shared" si="0"/>
        <v>16997365.640000001</v>
      </c>
      <c r="M6" s="22"/>
      <c r="N6" s="276">
        <f>SUM(C6:L6)</f>
        <v>133146827.7316</v>
      </c>
    </row>
    <row r="7" spans="1:14" s="69" customFormat="1" ht="16.5" customHeight="1" x14ac:dyDescent="0.2">
      <c r="A7" s="304" t="s">
        <v>148</v>
      </c>
      <c r="B7" s="271" t="s">
        <v>22</v>
      </c>
      <c r="C7" s="277">
        <f>C6</f>
        <v>-1134193.2991200001</v>
      </c>
      <c r="D7" s="278">
        <f>C7+D6</f>
        <v>-1937497.3884000001</v>
      </c>
      <c r="E7" s="278">
        <f t="shared" ref="E7:L7" si="1">D7+E6</f>
        <v>14612568.251600001</v>
      </c>
      <c r="F7" s="278">
        <f t="shared" si="1"/>
        <v>31162633.891600002</v>
      </c>
      <c r="G7" s="278">
        <f t="shared" si="1"/>
        <v>48159999.531599998</v>
      </c>
      <c r="H7" s="278">
        <f t="shared" si="1"/>
        <v>65157365.171599999</v>
      </c>
      <c r="I7" s="278">
        <f t="shared" si="1"/>
        <v>82154730.8116</v>
      </c>
      <c r="J7" s="278">
        <f t="shared" si="1"/>
        <v>99152096.4516</v>
      </c>
      <c r="K7" s="278">
        <f t="shared" si="1"/>
        <v>116149462.0916</v>
      </c>
      <c r="L7" s="279">
        <f t="shared" si="1"/>
        <v>133146827.7316</v>
      </c>
      <c r="M7" s="22"/>
      <c r="N7" s="276">
        <f>L7</f>
        <v>133146827.7316</v>
      </c>
    </row>
    <row r="8" spans="1:14" s="69" customFormat="1" ht="16.5" customHeight="1" x14ac:dyDescent="0.2">
      <c r="A8" s="304" t="s">
        <v>149</v>
      </c>
      <c r="B8" s="271" t="s">
        <v>313</v>
      </c>
      <c r="C8" s="280">
        <f>C6/(1+$I2)^1</f>
        <v>-1080184.0944000001</v>
      </c>
      <c r="D8" s="281">
        <f>D6/(1+$I2)^2</f>
        <v>-728620.48914285703</v>
      </c>
      <c r="E8" s="281">
        <f>E6/(1+$I2)^3</f>
        <v>14296568.957995895</v>
      </c>
      <c r="F8" s="281">
        <f>F6/(1+$I2)^4</f>
        <v>13615779.959996093</v>
      </c>
      <c r="G8" s="281">
        <f>G6/(1+$I2)^5</f>
        <v>13317880.739971904</v>
      </c>
      <c r="H8" s="281">
        <f>H6/(1+$I2)^6</f>
        <v>12683695.942830388</v>
      </c>
      <c r="I8" s="281">
        <f>I6/(1+$I2)^7</f>
        <v>12079710.421743223</v>
      </c>
      <c r="J8" s="281">
        <f>J6/(1+$I2)^8</f>
        <v>11504486.115945928</v>
      </c>
      <c r="K8" s="281">
        <f>K6/(1+$I2)^9</f>
        <v>10956653.443758026</v>
      </c>
      <c r="L8" s="282">
        <f>L6/(1+$I2)^10</f>
        <v>10434908.04167431</v>
      </c>
      <c r="M8" s="283"/>
      <c r="N8" s="284">
        <f>SUM(C8:L8)</f>
        <v>97080879.040372908</v>
      </c>
    </row>
    <row r="9" spans="1:14" s="69" customFormat="1" ht="16.5" customHeight="1" x14ac:dyDescent="0.2">
      <c r="A9" s="304" t="s">
        <v>150</v>
      </c>
      <c r="B9" s="271" t="s">
        <v>260</v>
      </c>
      <c r="C9" s="277">
        <f>C8</f>
        <v>-1080184.0944000001</v>
      </c>
      <c r="D9" s="278">
        <f>C9+D8</f>
        <v>-1808804.5835428571</v>
      </c>
      <c r="E9" s="278">
        <f>D9+E8</f>
        <v>12487764.374453038</v>
      </c>
      <c r="F9" s="278">
        <f>E9+F8</f>
        <v>26103544.334449131</v>
      </c>
      <c r="G9" s="278">
        <f t="shared" ref="G9:L9" si="2">F9+G8</f>
        <v>39421425.074421033</v>
      </c>
      <c r="H9" s="278">
        <f t="shared" si="2"/>
        <v>52105121.017251417</v>
      </c>
      <c r="I9" s="278">
        <f t="shared" si="2"/>
        <v>64184831.438994639</v>
      </c>
      <c r="J9" s="278">
        <f t="shared" si="2"/>
        <v>75689317.554940566</v>
      </c>
      <c r="K9" s="278">
        <f t="shared" si="2"/>
        <v>86645970.998698592</v>
      </c>
      <c r="L9" s="279">
        <f t="shared" si="2"/>
        <v>97080879.040372908</v>
      </c>
      <c r="M9" s="283"/>
      <c r="N9" s="284">
        <f>L9</f>
        <v>97080879.040372908</v>
      </c>
    </row>
    <row r="10" spans="1:14" s="53" customFormat="1" ht="16.5" hidden="1" customHeight="1" thickBot="1" x14ac:dyDescent="0.25">
      <c r="N10" s="285"/>
    </row>
    <row r="11" spans="1:14" s="13" customFormat="1" ht="16.5" hidden="1" customHeight="1" thickBot="1" x14ac:dyDescent="0.25">
      <c r="A11" s="305" t="s">
        <v>89</v>
      </c>
      <c r="B11" s="286" t="s">
        <v>29</v>
      </c>
      <c r="C11" s="287" t="s">
        <v>77</v>
      </c>
      <c r="D11" s="287" t="s">
        <v>78</v>
      </c>
      <c r="E11" s="287" t="s">
        <v>79</v>
      </c>
      <c r="F11" s="287" t="s">
        <v>80</v>
      </c>
      <c r="G11" s="287" t="s">
        <v>81</v>
      </c>
      <c r="H11" s="287" t="s">
        <v>82</v>
      </c>
      <c r="I11" s="287" t="s">
        <v>83</v>
      </c>
      <c r="J11" s="287" t="s">
        <v>84</v>
      </c>
      <c r="K11" s="287" t="s">
        <v>85</v>
      </c>
      <c r="L11" s="288" t="s">
        <v>86</v>
      </c>
      <c r="M11" s="53"/>
      <c r="N11" s="289" t="s">
        <v>88</v>
      </c>
    </row>
    <row r="12" spans="1:14" s="13" customFormat="1" ht="16.5" hidden="1" customHeight="1" x14ac:dyDescent="0.2">
      <c r="A12" s="304"/>
      <c r="B12" s="290" t="s">
        <v>107</v>
      </c>
      <c r="C12" s="291">
        <f t="shared" ref="C12:L12" si="3">C7</f>
        <v>-1134193.2991200001</v>
      </c>
      <c r="D12" s="292">
        <f t="shared" si="3"/>
        <v>-1937497.3884000001</v>
      </c>
      <c r="E12" s="292">
        <f t="shared" si="3"/>
        <v>14612568.251600001</v>
      </c>
      <c r="F12" s="292">
        <f t="shared" si="3"/>
        <v>31162633.891600002</v>
      </c>
      <c r="G12" s="292">
        <f t="shared" si="3"/>
        <v>48159999.531599998</v>
      </c>
      <c r="H12" s="292">
        <f t="shared" si="3"/>
        <v>65157365.171599999</v>
      </c>
      <c r="I12" s="292">
        <f t="shared" si="3"/>
        <v>82154730.8116</v>
      </c>
      <c r="J12" s="292">
        <f t="shared" si="3"/>
        <v>99152096.4516</v>
      </c>
      <c r="K12" s="292">
        <f t="shared" si="3"/>
        <v>116149462.0916</v>
      </c>
      <c r="L12" s="293">
        <f t="shared" si="3"/>
        <v>133146827.7316</v>
      </c>
      <c r="M12" s="53"/>
      <c r="N12" s="284">
        <f>SUM(C12:L12)</f>
        <v>586623993.24528003</v>
      </c>
    </row>
    <row r="13" spans="1:14" s="13" customFormat="1" ht="16.5" hidden="1" customHeight="1" x14ac:dyDescent="0.2">
      <c r="A13" s="304"/>
      <c r="B13" s="290" t="s">
        <v>28</v>
      </c>
      <c r="C13" s="294" t="str">
        <f>IF(C12&gt;0,"YR 1","N/A")</f>
        <v>N/A</v>
      </c>
      <c r="D13" s="295" t="str">
        <f>IF(D12&gt;0,1+ABS(C7)/D6,"N/A")</f>
        <v>N/A</v>
      </c>
      <c r="E13" s="295">
        <f>IF(E12&gt;0,2+ABS(D7)/E6,"N/A")</f>
        <v>2.1170688642900148</v>
      </c>
      <c r="F13" s="295">
        <f>IF(F12&gt;0,3+ABS(E7)/F6,"N/A")</f>
        <v>3.8829311357099852</v>
      </c>
      <c r="G13" s="295">
        <f>IF(G12&gt;0,4+ABS(F7)/G6,"N/A")</f>
        <v>5.8333802161827233</v>
      </c>
      <c r="H13" s="295">
        <f>IF(H12&gt;0,5+ABS(G7)/H6,"N/A")</f>
        <v>7.8333802161827233</v>
      </c>
      <c r="I13" s="295">
        <f>IF(I12&gt;0,6+ABS(H7)/I6,"N/A")</f>
        <v>9.8333802161827233</v>
      </c>
      <c r="J13" s="295">
        <f>IF(J12&gt;0,7+ABS(I7)/J6,"N/A")</f>
        <v>11.833380216182723</v>
      </c>
      <c r="K13" s="295">
        <f>IF(K12&gt;0,8+ABS(J7)/K6,"N/A")</f>
        <v>13.833380216182723</v>
      </c>
      <c r="L13" s="296">
        <f>IF(L12&gt;0,9+ABS(K7)/L6,"N/A")</f>
        <v>15.833380216182723</v>
      </c>
      <c r="M13" s="53"/>
      <c r="N13" s="284"/>
    </row>
    <row r="14" spans="1:14" s="13" customFormat="1" ht="16.5" customHeight="1" x14ac:dyDescent="0.2">
      <c r="A14" s="306" t="s">
        <v>151</v>
      </c>
      <c r="B14" s="297" t="s">
        <v>390</v>
      </c>
      <c r="C14" s="298" t="str">
        <f>IF(C7&gt;0,LOOKUP(C7,C12:C13,C13),"N/A")</f>
        <v>N/A</v>
      </c>
      <c r="D14" s="299" t="str">
        <f t="shared" ref="D14:L14" si="4">IF(C14="N/A",IF(D7&gt;0,LOOKUP(D7,D12:D13,D13),"N/A")," ")</f>
        <v>N/A</v>
      </c>
      <c r="E14" s="299">
        <f t="shared" ca="1" si="4"/>
        <v>2.1170688642900148</v>
      </c>
      <c r="F14" s="299" t="str">
        <f t="shared" ca="1" si="4"/>
        <v xml:space="preserve"> </v>
      </c>
      <c r="G14" s="299" t="str">
        <f t="shared" ca="1" si="4"/>
        <v xml:space="preserve"> </v>
      </c>
      <c r="H14" s="299" t="str">
        <f t="shared" ca="1" si="4"/>
        <v xml:space="preserve"> </v>
      </c>
      <c r="I14" s="299" t="str">
        <f t="shared" ca="1" si="4"/>
        <v xml:space="preserve"> </v>
      </c>
      <c r="J14" s="299" t="str">
        <f t="shared" ca="1" si="4"/>
        <v xml:space="preserve"> </v>
      </c>
      <c r="K14" s="299" t="str">
        <f t="shared" ca="1" si="4"/>
        <v xml:space="preserve"> </v>
      </c>
      <c r="L14" s="503" t="str">
        <f t="shared" ca="1" si="4"/>
        <v xml:space="preserve"> </v>
      </c>
      <c r="M14" s="283"/>
      <c r="N14" s="300">
        <f ca="1">N245</f>
        <v>2.1170688642900148</v>
      </c>
    </row>
    <row r="15" spans="1:14" s="69" customFormat="1" ht="16.5" customHeight="1" x14ac:dyDescent="0.2">
      <c r="A15" s="306" t="s">
        <v>152</v>
      </c>
      <c r="B15" s="297" t="s">
        <v>382</v>
      </c>
      <c r="C15" s="301">
        <f>IF(SUM(C$5)&lt;&gt;0,(SUM(C$4)+SUM(C$5))/(-1*(SUM(C$5))),"N/A")</f>
        <v>-1</v>
      </c>
      <c r="D15" s="301">
        <f>IF(SUM($C$5:D$5)&lt;&gt;0,(SUM($C$4:D$4)+SUM($C$5:D$5))/(-1*(SUM($C$5:D$5))),"N/A")</f>
        <v>-1</v>
      </c>
      <c r="E15" s="301">
        <f>IF(SUM($C$5:E$5)&lt;&gt;0,(SUM($C$4:E$4)+SUM($C$5:E$5))/(-1*(SUM($C$5:E$5))),"N/A")</f>
        <v>5.8745604823124484</v>
      </c>
      <c r="F15" s="301">
        <f>IF(SUM($C$5:F$5)&lt;&gt;0,(SUM($C$4:F$4)+SUM($C$5:F$5))/(-1*(SUM($C$5:F$5))),"N/A")</f>
        <v>10.259755584095727</v>
      </c>
      <c r="G15" s="301">
        <f>IF(SUM($C$5:G$5)&lt;&gt;0,(SUM($C$4:G$4)+SUM($C$5:G$5))/(-1*(SUM($C$5:G$5))),"N/A")</f>
        <v>15.337577180725749</v>
      </c>
      <c r="H15" s="301">
        <f>IF(SUM($C$5:H$5)&lt;&gt;0,(SUM($C$4:H$4)+SUM($C$5:H$5))/(-1*(SUM($C$5:H$5))),"N/A")</f>
        <v>20.093957111954644</v>
      </c>
      <c r="I15" s="301">
        <f>IF(SUM($C$5:I$5)&lt;&gt;0,(SUM($C$4:I$4)+SUM($C$5:I$5))/(-1*(SUM($C$5:I$5))),"N/A")</f>
        <v>24.558481301438579</v>
      </c>
      <c r="J15" s="301">
        <f>IF(SUM($C$5:J$5)&lt;&gt;0,(SUM($C$4:J$4)+SUM($C$5:J$5))/(-1*(SUM($C$5:J$5))),"N/A")</f>
        <v>28.757212914964388</v>
      </c>
      <c r="K15" s="301">
        <f>IF(SUM($C$5:K$5)&lt;&gt;0,(SUM($C$4:K$4)+SUM($C$5:K$5))/(-1*(SUM($C$5:K$5))),"N/A")</f>
        <v>32.713201517102277</v>
      </c>
      <c r="L15" s="302">
        <f>IF(SUM($C$5:L$5)&lt;&gt;0,(SUM($C$4:L$4)+SUM($C$5:L$5))/(-1*(SUM($C$5:L$5))),"N/A")</f>
        <v>36.446906400588411</v>
      </c>
      <c r="M15" s="283"/>
      <c r="N15" s="303">
        <f>IF(N6=0,"",(N6/-N5))</f>
        <v>36.446906400588411</v>
      </c>
    </row>
    <row r="16" spans="1:14" s="69" customFormat="1" ht="8.25" customHeight="1" x14ac:dyDescent="0.25">
      <c r="A16" s="179"/>
      <c r="B16" s="59"/>
      <c r="C16" s="96"/>
      <c r="D16" s="96"/>
      <c r="E16" s="96"/>
      <c r="F16" s="96"/>
      <c r="G16" s="96"/>
      <c r="H16" s="96"/>
      <c r="I16" s="96"/>
      <c r="J16" s="96"/>
      <c r="K16" s="96"/>
      <c r="L16" s="96"/>
      <c r="M16" s="96"/>
      <c r="N16" s="233"/>
    </row>
    <row r="17" spans="1:14" s="2" customFormat="1" ht="29.25" customHeight="1" thickBot="1" x14ac:dyDescent="0.25">
      <c r="A17" s="182" t="s">
        <v>344</v>
      </c>
      <c r="B17" s="5"/>
      <c r="C17" s="68"/>
      <c r="D17" s="68"/>
      <c r="E17" s="68"/>
      <c r="F17" s="68"/>
      <c r="G17" s="69"/>
      <c r="H17" s="163"/>
      <c r="I17" s="174"/>
      <c r="J17" s="3"/>
      <c r="K17" s="3"/>
      <c r="L17" s="3"/>
      <c r="M17" s="3"/>
      <c r="N17" s="234"/>
    </row>
    <row r="18" spans="1:14" ht="16.5" customHeight="1" thickBot="1" x14ac:dyDescent="0.25">
      <c r="A18" s="81" t="s">
        <v>89</v>
      </c>
      <c r="B18" s="81" t="s">
        <v>76</v>
      </c>
      <c r="C18" s="82" t="s">
        <v>77</v>
      </c>
      <c r="D18" s="82" t="s">
        <v>78</v>
      </c>
      <c r="E18" s="82" t="s">
        <v>79</v>
      </c>
      <c r="F18" s="82" t="s">
        <v>80</v>
      </c>
      <c r="G18" s="82" t="s">
        <v>81</v>
      </c>
      <c r="H18" s="82" t="s">
        <v>82</v>
      </c>
      <c r="I18" s="82" t="s">
        <v>83</v>
      </c>
      <c r="J18" s="82" t="s">
        <v>84</v>
      </c>
      <c r="K18" s="82" t="s">
        <v>85</v>
      </c>
      <c r="L18" s="83" t="s">
        <v>86</v>
      </c>
      <c r="N18" s="229" t="s">
        <v>88</v>
      </c>
    </row>
    <row r="19" spans="1:14" s="69" customFormat="1" ht="16.5" customHeight="1" x14ac:dyDescent="0.2">
      <c r="A19" s="304" t="s">
        <v>153</v>
      </c>
      <c r="B19" s="271" t="s">
        <v>33</v>
      </c>
      <c r="C19" s="272">
        <f>'Cost-Benefit_Summary'!C67</f>
        <v>0</v>
      </c>
      <c r="D19" s="273">
        <f>'Cost-Benefit_Summary'!D67</f>
        <v>0</v>
      </c>
      <c r="E19" s="273">
        <f>'Cost-Benefit_Summary'!E67</f>
        <v>75927884.615384623</v>
      </c>
      <c r="F19" s="273">
        <f>'Cost-Benefit_Summary'!F67</f>
        <v>75927884.615384623</v>
      </c>
      <c r="G19" s="273">
        <f>'Cost-Benefit_Summary'!G67</f>
        <v>75927884.615384623</v>
      </c>
      <c r="H19" s="273">
        <f>'Cost-Benefit_Summary'!H67</f>
        <v>75927884.615384623</v>
      </c>
      <c r="I19" s="273">
        <f>'Cost-Benefit_Summary'!I67</f>
        <v>75927884.615384623</v>
      </c>
      <c r="J19" s="273">
        <f>'Cost-Benefit_Summary'!J67</f>
        <v>75927884.615384623</v>
      </c>
      <c r="K19" s="273">
        <f>'Cost-Benefit_Summary'!K67</f>
        <v>75927884.615384623</v>
      </c>
      <c r="L19" s="274">
        <f>'Cost-Benefit_Summary'!L67</f>
        <v>75927884.615384623</v>
      </c>
      <c r="M19" s="275"/>
      <c r="N19" s="276">
        <f>SUM(C19:L19)</f>
        <v>607423076.92307699</v>
      </c>
    </row>
    <row r="20" spans="1:14" s="69" customFormat="1" ht="16.5" customHeight="1" x14ac:dyDescent="0.2">
      <c r="A20" s="304" t="s">
        <v>154</v>
      </c>
      <c r="B20" s="271" t="str">
        <f>Instructions!B145</f>
        <v>Business Case Cost</v>
      </c>
      <c r="C20" s="272">
        <f>-Cost_Analysis!D171</f>
        <v>-1134193.2991200001</v>
      </c>
      <c r="D20" s="273">
        <f>-Cost_Analysis!E171</f>
        <v>-803304.08927999996</v>
      </c>
      <c r="E20" s="273">
        <f>-Cost_Analysis!F171</f>
        <v>-549934.36</v>
      </c>
      <c r="F20" s="273">
        <f>-Cost_Analysis!G171</f>
        <v>-549934.36</v>
      </c>
      <c r="G20" s="273">
        <f>-Cost_Analysis!H171</f>
        <v>-102634.36</v>
      </c>
      <c r="H20" s="273">
        <f>-Cost_Analysis!I171</f>
        <v>-102634.36</v>
      </c>
      <c r="I20" s="273">
        <f>-Cost_Analysis!J171</f>
        <v>-102634.36</v>
      </c>
      <c r="J20" s="273">
        <f>-Cost_Analysis!K171</f>
        <v>-102634.36</v>
      </c>
      <c r="K20" s="273">
        <f>-Cost_Analysis!L171</f>
        <v>-102634.36</v>
      </c>
      <c r="L20" s="274">
        <f>-Cost_Analysis!M171</f>
        <v>-102634.36</v>
      </c>
      <c r="M20" s="275"/>
      <c r="N20" s="276">
        <f>SUM(C20:L20)</f>
        <v>-3653172.268399999</v>
      </c>
    </row>
    <row r="21" spans="1:14" s="69" customFormat="1" ht="16.5" customHeight="1" x14ac:dyDescent="0.2">
      <c r="A21" s="304" t="s">
        <v>155</v>
      </c>
      <c r="B21" s="271" t="s">
        <v>27</v>
      </c>
      <c r="C21" s="277">
        <f t="shared" ref="C21:L21" si="5">SUM(C19:C20)</f>
        <v>-1134193.2991200001</v>
      </c>
      <c r="D21" s="278">
        <f t="shared" si="5"/>
        <v>-803304.08927999996</v>
      </c>
      <c r="E21" s="278">
        <f t="shared" si="5"/>
        <v>75377950.255384624</v>
      </c>
      <c r="F21" s="278">
        <f t="shared" si="5"/>
        <v>75377950.255384624</v>
      </c>
      <c r="G21" s="278">
        <f t="shared" si="5"/>
        <v>75825250.255384624</v>
      </c>
      <c r="H21" s="278">
        <f t="shared" si="5"/>
        <v>75825250.255384624</v>
      </c>
      <c r="I21" s="278">
        <f t="shared" si="5"/>
        <v>75825250.255384624</v>
      </c>
      <c r="J21" s="278">
        <f t="shared" si="5"/>
        <v>75825250.255384624</v>
      </c>
      <c r="K21" s="278">
        <f t="shared" si="5"/>
        <v>75825250.255384624</v>
      </c>
      <c r="L21" s="279">
        <f t="shared" si="5"/>
        <v>75825250.255384624</v>
      </c>
      <c r="M21" s="22"/>
      <c r="N21" s="276">
        <f>SUM(C21:L21)</f>
        <v>603769904.65467691</v>
      </c>
    </row>
    <row r="22" spans="1:14" s="69" customFormat="1" ht="16.5" customHeight="1" x14ac:dyDescent="0.2">
      <c r="A22" s="304" t="s">
        <v>156</v>
      </c>
      <c r="B22" s="271" t="s">
        <v>349</v>
      </c>
      <c r="C22" s="277">
        <f>C21</f>
        <v>-1134193.2991200001</v>
      </c>
      <c r="D22" s="278">
        <f>C22+D21</f>
        <v>-1937497.3884000001</v>
      </c>
      <c r="E22" s="278">
        <f>D22+E21</f>
        <v>73440452.866984621</v>
      </c>
      <c r="F22" s="278">
        <f t="shared" ref="F22:L22" si="6">E22+F21</f>
        <v>148818403.12236923</v>
      </c>
      <c r="G22" s="278">
        <f t="shared" si="6"/>
        <v>224643653.37775385</v>
      </c>
      <c r="H22" s="278">
        <f t="shared" si="6"/>
        <v>300468903.63313848</v>
      </c>
      <c r="I22" s="278">
        <f t="shared" si="6"/>
        <v>376294153.8885231</v>
      </c>
      <c r="J22" s="278">
        <f t="shared" si="6"/>
        <v>452119404.14390773</v>
      </c>
      <c r="K22" s="278">
        <f t="shared" si="6"/>
        <v>527944654.39929235</v>
      </c>
      <c r="L22" s="279">
        <f t="shared" si="6"/>
        <v>603769904.65467691</v>
      </c>
      <c r="M22" s="22"/>
      <c r="N22" s="276">
        <f>L22</f>
        <v>603769904.65467691</v>
      </c>
    </row>
    <row r="23" spans="1:14" s="69" customFormat="1" ht="16.5" hidden="1" customHeight="1" x14ac:dyDescent="0.25">
      <c r="A23" s="167" t="s">
        <v>157</v>
      </c>
      <c r="B23" s="168" t="s">
        <v>313</v>
      </c>
      <c r="C23" s="224">
        <f>C21/(1+$I2)^1</f>
        <v>-1080184.0944000001</v>
      </c>
      <c r="D23" s="225">
        <f>D21/(1+$I2)^2</f>
        <v>-728620.48914285703</v>
      </c>
      <c r="E23" s="225">
        <f>E21/(1+$I2)^3</f>
        <v>65114307.530836508</v>
      </c>
      <c r="F23" s="225">
        <f>F21/(1+$I2)^4</f>
        <v>62013626.219844304</v>
      </c>
      <c r="G23" s="225">
        <f>G21/(1+$I2)^5</f>
        <v>59411067.654113054</v>
      </c>
      <c r="H23" s="225">
        <f>H21/(1+$I2)^6</f>
        <v>56581969.194393389</v>
      </c>
      <c r="I23" s="225">
        <f>I21/(1+$I2)^7</f>
        <v>53887589.708946079</v>
      </c>
      <c r="J23" s="225">
        <f>J21/(1+$I2)^8</f>
        <v>51321514.008520082</v>
      </c>
      <c r="K23" s="225">
        <f>K21/(1+$I2)^9</f>
        <v>48877632.389066741</v>
      </c>
      <c r="L23" s="226">
        <f>L21/(1+$I2)^10</f>
        <v>46550126.084825464</v>
      </c>
      <c r="M23" s="162"/>
      <c r="N23" s="235"/>
    </row>
    <row r="24" spans="1:14" s="69" customFormat="1" ht="16.5" hidden="1" customHeight="1" x14ac:dyDescent="0.25">
      <c r="A24" s="167" t="s">
        <v>158</v>
      </c>
      <c r="B24" s="168" t="s">
        <v>260</v>
      </c>
      <c r="C24" s="199">
        <f>C23</f>
        <v>-1080184.0944000001</v>
      </c>
      <c r="D24" s="200">
        <f t="shared" ref="D24:L24" si="7">C24+D23</f>
        <v>-1808804.5835428571</v>
      </c>
      <c r="E24" s="200">
        <f t="shared" si="7"/>
        <v>63305502.947293654</v>
      </c>
      <c r="F24" s="200">
        <f t="shared" si="7"/>
        <v>125319129.16713795</v>
      </c>
      <c r="G24" s="200">
        <f t="shared" si="7"/>
        <v>184730196.821251</v>
      </c>
      <c r="H24" s="200">
        <f t="shared" si="7"/>
        <v>241312166.0156444</v>
      </c>
      <c r="I24" s="200">
        <f t="shared" si="7"/>
        <v>295199755.72459048</v>
      </c>
      <c r="J24" s="200">
        <f t="shared" si="7"/>
        <v>346521269.73311055</v>
      </c>
      <c r="K24" s="200">
        <f t="shared" si="7"/>
        <v>395398902.1221773</v>
      </c>
      <c r="L24" s="201">
        <f t="shared" si="7"/>
        <v>441949028.20700276</v>
      </c>
      <c r="M24" s="162"/>
      <c r="N24" s="227"/>
    </row>
    <row r="25" spans="1:14" s="19" customFormat="1" ht="16.5" hidden="1" customHeight="1" thickBot="1" x14ac:dyDescent="0.25">
      <c r="N25" s="228"/>
    </row>
    <row r="26" spans="1:14" ht="16.5" hidden="1" customHeight="1" thickBot="1" x14ac:dyDescent="0.25">
      <c r="A26" s="81" t="s">
        <v>89</v>
      </c>
      <c r="B26" s="175" t="s">
        <v>29</v>
      </c>
      <c r="C26" s="82" t="s">
        <v>77</v>
      </c>
      <c r="D26" s="82" t="s">
        <v>78</v>
      </c>
      <c r="E26" s="82" t="s">
        <v>79</v>
      </c>
      <c r="F26" s="82" t="s">
        <v>80</v>
      </c>
      <c r="G26" s="82" t="s">
        <v>81</v>
      </c>
      <c r="H26" s="82" t="s">
        <v>82</v>
      </c>
      <c r="I26" s="82" t="s">
        <v>83</v>
      </c>
      <c r="J26" s="82" t="s">
        <v>84</v>
      </c>
      <c r="K26" s="82" t="s">
        <v>85</v>
      </c>
      <c r="L26" s="83" t="s">
        <v>86</v>
      </c>
      <c r="N26" s="229" t="s">
        <v>88</v>
      </c>
    </row>
    <row r="27" spans="1:14" ht="16.5" hidden="1" customHeight="1" x14ac:dyDescent="0.25">
      <c r="A27" s="167"/>
      <c r="B27" s="168" t="s">
        <v>107</v>
      </c>
      <c r="C27" s="176">
        <f>C22</f>
        <v>-1134193.2991200001</v>
      </c>
      <c r="D27" s="177">
        <f t="shared" ref="D27:L27" si="8">D22</f>
        <v>-1937497.3884000001</v>
      </c>
      <c r="E27" s="177">
        <f t="shared" si="8"/>
        <v>73440452.866984621</v>
      </c>
      <c r="F27" s="177">
        <f t="shared" si="8"/>
        <v>148818403.12236923</v>
      </c>
      <c r="G27" s="177">
        <f t="shared" si="8"/>
        <v>224643653.37775385</v>
      </c>
      <c r="H27" s="177">
        <f t="shared" si="8"/>
        <v>300468903.63313848</v>
      </c>
      <c r="I27" s="177">
        <f t="shared" si="8"/>
        <v>376294153.8885231</v>
      </c>
      <c r="J27" s="177">
        <f t="shared" si="8"/>
        <v>452119404.14390773</v>
      </c>
      <c r="K27" s="177">
        <f t="shared" si="8"/>
        <v>527944654.39929235</v>
      </c>
      <c r="L27" s="178">
        <f t="shared" si="8"/>
        <v>603769904.65467691</v>
      </c>
      <c r="N27" s="230">
        <f>SUM(C27:L27)</f>
        <v>2704427839.3991265</v>
      </c>
    </row>
    <row r="28" spans="1:14" ht="16.5" hidden="1" customHeight="1" x14ac:dyDescent="0.25">
      <c r="A28" s="167"/>
      <c r="B28" s="168" t="s">
        <v>30</v>
      </c>
      <c r="C28" s="181" t="str">
        <f>IF(C27&gt;0,"YR 1","N/A")</f>
        <v>N/A</v>
      </c>
      <c r="D28" s="173" t="str">
        <f>IF(D27&gt;0,1+ABS(C22)/D21,"N/A")</f>
        <v>N/A</v>
      </c>
      <c r="E28" s="173">
        <f>IF(E27&gt;0,2+ABS(D22)/E21,"N/A")</f>
        <v>2.0257037685667445</v>
      </c>
      <c r="F28" s="173">
        <f>IF(F27&gt;0,3+ABS(E22)/F21,"N/A")</f>
        <v>3.9742962314332555</v>
      </c>
      <c r="G28" s="173">
        <f>IF(G27&gt;0,4+ABS(F22)/G21,"N/A")</f>
        <v>5.962649679640208</v>
      </c>
      <c r="H28" s="173">
        <f>IF(H27&gt;0,5+ABS(G22)/H21,"N/A")</f>
        <v>7.962649679640208</v>
      </c>
      <c r="I28" s="173">
        <f>IF(I27&gt;0,6+ABS(H22)/I21,"N/A")</f>
        <v>9.962649679640208</v>
      </c>
      <c r="J28" s="173">
        <f>IF(J27&gt;0,7+ABS(I22)/J21,"N/A")</f>
        <v>11.962649679640208</v>
      </c>
      <c r="K28" s="173">
        <f>IF(K27&gt;0,8+ABS(J22)/K21,"N/A")</f>
        <v>13.962649679640208</v>
      </c>
      <c r="L28" s="180">
        <f>IF(L27&gt;0,9+ABS(K22)/L21,"N/A")</f>
        <v>15.962649679640208</v>
      </c>
      <c r="N28" s="230"/>
    </row>
    <row r="29" spans="1:14" ht="16.5" hidden="1" customHeight="1" x14ac:dyDescent="0.25">
      <c r="A29" s="187" t="s">
        <v>159</v>
      </c>
      <c r="B29" s="188" t="s">
        <v>369</v>
      </c>
      <c r="C29" s="236" t="str">
        <f>IF(C22&gt;0,HLOOKUP(C22,Payback_C,2),"N/A")</f>
        <v>N/A</v>
      </c>
      <c r="D29" s="237" t="str">
        <f t="shared" ref="D29:L29" si="9">IF(C29="N/A",IF(D22&gt;0,HLOOKUP(D22,Payback_C,2),"N/A")," ")</f>
        <v>N/A</v>
      </c>
      <c r="E29" s="237">
        <f t="shared" si="9"/>
        <v>2.0257037685667445</v>
      </c>
      <c r="F29" s="237" t="str">
        <f t="shared" si="9"/>
        <v xml:space="preserve"> </v>
      </c>
      <c r="G29" s="237" t="str">
        <f t="shared" si="9"/>
        <v xml:space="preserve"> </v>
      </c>
      <c r="H29" s="237" t="str">
        <f t="shared" si="9"/>
        <v xml:space="preserve"> </v>
      </c>
      <c r="I29" s="237" t="str">
        <f t="shared" si="9"/>
        <v xml:space="preserve"> </v>
      </c>
      <c r="J29" s="237" t="str">
        <f t="shared" si="9"/>
        <v xml:space="preserve"> </v>
      </c>
      <c r="K29" s="237" t="str">
        <f t="shared" si="9"/>
        <v xml:space="preserve"> </v>
      </c>
      <c r="L29" s="238" t="str">
        <f t="shared" si="9"/>
        <v xml:space="preserve"> </v>
      </c>
      <c r="M29" s="162"/>
      <c r="N29" s="231"/>
    </row>
    <row r="30" spans="1:14" s="69" customFormat="1" ht="16.5" hidden="1" customHeight="1" x14ac:dyDescent="0.25">
      <c r="A30" s="187" t="s">
        <v>160</v>
      </c>
      <c r="B30" s="188" t="s">
        <v>91</v>
      </c>
      <c r="C30" s="239">
        <f>IF(SUM(C$20)&lt;&gt;0,(SUM(C$19)+SUM(C$20))/(-1*(SUM(C$20))),"N/A")</f>
        <v>-1</v>
      </c>
      <c r="D30" s="239">
        <f>IF(SUM($C$20:D$20)&lt;&gt;0,(SUM($C$19:D$19)+SUM($C$20:D$20))/(-1*(SUM($C$20:D$20))),"N/A")</f>
        <v>-1</v>
      </c>
      <c r="E30" s="239">
        <f>IF(SUM($C$20:E$20)&lt;&gt;0,(SUM($C$19:E$19)+SUM($C$20:E$20))/(-1*(SUM($C$20:E$20))),"N/A")</f>
        <v>29.524610238742831</v>
      </c>
      <c r="F30" s="239">
        <f>IF(SUM($C$20:F$20)&lt;&gt;0,(SUM($C$19:F$19)+SUM($C$20:F$20))/(-1*(SUM($C$20:F$20))),"N/A")</f>
        <v>48.995872677582049</v>
      </c>
      <c r="G30" s="239">
        <f>IF(SUM($C$20:G$20)&lt;&gt;0,(SUM($C$19:G$19)+SUM($C$20:G$20))/(-1*(SUM($C$20:G$20))),"N/A")</f>
        <v>71.542554097841261</v>
      </c>
      <c r="H30" s="239">
        <f>IF(SUM($C$20:H$20)&lt;&gt;0,(SUM($C$19:H$19)+SUM($C$20:H$20))/(-1*(SUM($C$20:H$20))),"N/A")</f>
        <v>92.661961501658723</v>
      </c>
      <c r="I30" s="239">
        <f>IF(SUM($C$20:I$20)&lt;&gt;0,(SUM($C$19:I$19)+SUM($C$20:I$20))/(-1*(SUM($C$20:I$20))),"N/A")</f>
        <v>112.48546311111662</v>
      </c>
      <c r="J30" s="239">
        <f>IF(SUM($C$20:J$20)&lt;&gt;0,(SUM($C$19:J$19)+SUM($C$20:J$20))/(-1*(SUM($C$20:J$20))),"N/A")</f>
        <v>131.12878530309061</v>
      </c>
      <c r="K30" s="239">
        <f>IF(SUM($C$20:K$20)&lt;&gt;0,(SUM($C$19:K$19)+SUM($C$20:K$20))/(-1*(SUM($C$20:K$20))),"N/A")</f>
        <v>148.69427338045332</v>
      </c>
      <c r="L30" s="240">
        <f>IF(SUM($C$20:L$20)&lt;&gt;0,(SUM($C$19:L$19)+SUM($C$20:L$20))/(-1*(SUM($C$20:L$20))),"N/A")</f>
        <v>165.27277125070086</v>
      </c>
      <c r="M30" s="162"/>
      <c r="N30" s="232">
        <f>N21/-N20</f>
        <v>165.27277125070083</v>
      </c>
    </row>
    <row r="31" spans="1:14" s="69" customFormat="1" ht="16.5" customHeight="1" x14ac:dyDescent="0.25">
      <c r="A31" s="179"/>
      <c r="B31" s="59"/>
      <c r="C31" s="246"/>
      <c r="D31" s="246"/>
      <c r="E31" s="246"/>
      <c r="F31" s="246"/>
      <c r="G31" s="246"/>
      <c r="H31" s="246"/>
      <c r="I31" s="246"/>
      <c r="J31" s="246"/>
      <c r="K31" s="246"/>
      <c r="L31" s="246"/>
      <c r="M31" s="247"/>
      <c r="N31" s="233"/>
    </row>
    <row r="243" spans="2:14" s="502" customFormat="1" x14ac:dyDescent="0.2">
      <c r="M243" s="665"/>
      <c r="N243" s="666"/>
    </row>
    <row r="244" spans="2:14" s="502" customFormat="1" x14ac:dyDescent="0.2">
      <c r="M244" s="665"/>
      <c r="N244" s="666"/>
    </row>
    <row r="245" spans="2:14" s="502" customFormat="1" x14ac:dyDescent="0.2">
      <c r="B245" s="502" t="s">
        <v>513</v>
      </c>
      <c r="C245" s="502" t="str">
        <f>IF(C14="N/A","",C14)</f>
        <v/>
      </c>
      <c r="D245" s="502" t="str">
        <f>IF(D14="N/A","",D14)</f>
        <v/>
      </c>
      <c r="E245" s="502">
        <f ca="1">IF(E14="N/A","",E14)</f>
        <v>2.1170688642900148</v>
      </c>
      <c r="F245" s="502" t="str">
        <f t="shared" ref="F245:L245" ca="1" si="10">IF(F14="N/A","",F14)</f>
        <v xml:space="preserve"> </v>
      </c>
      <c r="G245" s="502" t="str">
        <f t="shared" ca="1" si="10"/>
        <v xml:space="preserve"> </v>
      </c>
      <c r="H245" s="502" t="str">
        <f t="shared" ca="1" si="10"/>
        <v xml:space="preserve"> </v>
      </c>
      <c r="I245" s="502" t="str">
        <f t="shared" ca="1" si="10"/>
        <v xml:space="preserve"> </v>
      </c>
      <c r="J245" s="502" t="str">
        <f t="shared" ca="1" si="10"/>
        <v xml:space="preserve"> </v>
      </c>
      <c r="K245" s="502" t="str">
        <f t="shared" ca="1" si="10"/>
        <v xml:space="preserve"> </v>
      </c>
      <c r="L245" s="502" t="str">
        <f t="shared" ca="1" si="10"/>
        <v xml:space="preserve"> </v>
      </c>
      <c r="N245" s="502">
        <f ca="1">SUM(C245:L245)</f>
        <v>2.1170688642900148</v>
      </c>
    </row>
    <row r="246" spans="2:14" s="502" customFormat="1" x14ac:dyDescent="0.2">
      <c r="M246" s="665"/>
      <c r="N246" s="666"/>
    </row>
    <row r="247" spans="2:14" s="502" customFormat="1" x14ac:dyDescent="0.2">
      <c r="M247" s="665"/>
      <c r="N247" s="666"/>
    </row>
    <row r="248" spans="2:14" s="502" customFormat="1" x14ac:dyDescent="0.2">
      <c r="M248" s="665"/>
      <c r="N248" s="666"/>
    </row>
    <row r="249" spans="2:14" s="502" customFormat="1" x14ac:dyDescent="0.2">
      <c r="M249" s="665"/>
      <c r="N249" s="666"/>
    </row>
    <row r="250" spans="2:14" s="502" customFormat="1" x14ac:dyDescent="0.2">
      <c r="C250" s="667" t="str">
        <f t="shared" ref="C250:L250" si="11">C18</f>
        <v>Year 1</v>
      </c>
      <c r="D250" s="667" t="str">
        <f t="shared" si="11"/>
        <v>Year 2</v>
      </c>
      <c r="E250" s="667" t="str">
        <f t="shared" si="11"/>
        <v>Year 3</v>
      </c>
      <c r="F250" s="667" t="str">
        <f t="shared" si="11"/>
        <v>Year 4</v>
      </c>
      <c r="G250" s="667" t="str">
        <f t="shared" si="11"/>
        <v>Year 5</v>
      </c>
      <c r="H250" s="667" t="str">
        <f t="shared" si="11"/>
        <v>Year 6</v>
      </c>
      <c r="I250" s="667" t="str">
        <f t="shared" si="11"/>
        <v>Year 7</v>
      </c>
      <c r="J250" s="667" t="str">
        <f t="shared" si="11"/>
        <v>Year 8</v>
      </c>
      <c r="K250" s="667" t="str">
        <f t="shared" si="11"/>
        <v>Year 9</v>
      </c>
      <c r="L250" s="667" t="str">
        <f t="shared" si="11"/>
        <v>Year 10</v>
      </c>
      <c r="M250" s="665"/>
      <c r="N250" s="666"/>
    </row>
    <row r="251" spans="2:14" s="502" customFormat="1" x14ac:dyDescent="0.2">
      <c r="B251" s="502" t="s">
        <v>629</v>
      </c>
      <c r="C251" s="668">
        <f>C5</f>
        <v>-1134193.2991200001</v>
      </c>
      <c r="D251" s="668">
        <f t="shared" ref="D251:L251" si="12">D5</f>
        <v>-803304.08927999996</v>
      </c>
      <c r="E251" s="668">
        <f t="shared" si="12"/>
        <v>-549934.36</v>
      </c>
      <c r="F251" s="668">
        <f t="shared" si="12"/>
        <v>-549934.36</v>
      </c>
      <c r="G251" s="668">
        <f t="shared" si="12"/>
        <v>-102634.36</v>
      </c>
      <c r="H251" s="668">
        <f t="shared" si="12"/>
        <v>-102634.36</v>
      </c>
      <c r="I251" s="668">
        <f t="shared" si="12"/>
        <v>-102634.36</v>
      </c>
      <c r="J251" s="668">
        <f t="shared" si="12"/>
        <v>-102634.36</v>
      </c>
      <c r="K251" s="668">
        <f t="shared" si="12"/>
        <v>-102634.36</v>
      </c>
      <c r="L251" s="668">
        <f t="shared" si="12"/>
        <v>-102634.36</v>
      </c>
      <c r="M251" s="669"/>
      <c r="N251" s="668">
        <f>SUM(C251:M251)</f>
        <v>-3653172.268399999</v>
      </c>
    </row>
    <row r="252" spans="2:14" s="502" customFormat="1" x14ac:dyDescent="0.2">
      <c r="B252" s="502" t="s">
        <v>383</v>
      </c>
      <c r="C252" s="668">
        <f t="shared" ref="C252:L252" si="13">C4</f>
        <v>0</v>
      </c>
      <c r="D252" s="668">
        <f t="shared" si="13"/>
        <v>0</v>
      </c>
      <c r="E252" s="668">
        <f t="shared" si="13"/>
        <v>17100000</v>
      </c>
      <c r="F252" s="668">
        <f t="shared" si="13"/>
        <v>17100000</v>
      </c>
      <c r="G252" s="668">
        <f t="shared" si="13"/>
        <v>17100000</v>
      </c>
      <c r="H252" s="668">
        <f t="shared" si="13"/>
        <v>17100000</v>
      </c>
      <c r="I252" s="668">
        <f t="shared" si="13"/>
        <v>17100000</v>
      </c>
      <c r="J252" s="668">
        <f t="shared" si="13"/>
        <v>17100000</v>
      </c>
      <c r="K252" s="668">
        <f t="shared" si="13"/>
        <v>17100000</v>
      </c>
      <c r="L252" s="668">
        <f t="shared" si="13"/>
        <v>17100000</v>
      </c>
      <c r="M252" s="669"/>
      <c r="N252" s="668">
        <f>SUM(C252:M252)</f>
        <v>136800000</v>
      </c>
    </row>
    <row r="253" spans="2:14" s="502" customFormat="1" x14ac:dyDescent="0.2">
      <c r="B253" s="502" t="s">
        <v>26</v>
      </c>
      <c r="C253" s="668">
        <f t="shared" ref="C253:L253" si="14">C6</f>
        <v>-1134193.2991200001</v>
      </c>
      <c r="D253" s="668">
        <f t="shared" si="14"/>
        <v>-803304.08927999996</v>
      </c>
      <c r="E253" s="668">
        <f t="shared" si="14"/>
        <v>16550065.640000001</v>
      </c>
      <c r="F253" s="668">
        <f t="shared" si="14"/>
        <v>16550065.640000001</v>
      </c>
      <c r="G253" s="668">
        <f t="shared" si="14"/>
        <v>16997365.640000001</v>
      </c>
      <c r="H253" s="668">
        <f t="shared" si="14"/>
        <v>16997365.640000001</v>
      </c>
      <c r="I253" s="668">
        <f t="shared" si="14"/>
        <v>16997365.640000001</v>
      </c>
      <c r="J253" s="668">
        <f t="shared" si="14"/>
        <v>16997365.640000001</v>
      </c>
      <c r="K253" s="668">
        <f t="shared" si="14"/>
        <v>16997365.640000001</v>
      </c>
      <c r="L253" s="668">
        <f t="shared" si="14"/>
        <v>16997365.640000001</v>
      </c>
      <c r="M253" s="669"/>
      <c r="N253" s="668">
        <f>SUM(C253:M253)</f>
        <v>133146827.7316</v>
      </c>
    </row>
    <row r="254" spans="2:14" s="502" customFormat="1" x14ac:dyDescent="0.2">
      <c r="B254" s="502" t="s">
        <v>107</v>
      </c>
      <c r="C254" s="668">
        <f t="shared" ref="C254:L254" si="15">C7</f>
        <v>-1134193.2991200001</v>
      </c>
      <c r="D254" s="668">
        <f t="shared" si="15"/>
        <v>-1937497.3884000001</v>
      </c>
      <c r="E254" s="668">
        <f t="shared" si="15"/>
        <v>14612568.251600001</v>
      </c>
      <c r="F254" s="668">
        <f t="shared" si="15"/>
        <v>31162633.891600002</v>
      </c>
      <c r="G254" s="668">
        <f t="shared" si="15"/>
        <v>48159999.531599998</v>
      </c>
      <c r="H254" s="668">
        <f t="shared" si="15"/>
        <v>65157365.171599999</v>
      </c>
      <c r="I254" s="668">
        <f t="shared" si="15"/>
        <v>82154730.8116</v>
      </c>
      <c r="J254" s="668">
        <f t="shared" si="15"/>
        <v>99152096.4516</v>
      </c>
      <c r="K254" s="668">
        <f t="shared" si="15"/>
        <v>116149462.0916</v>
      </c>
      <c r="L254" s="668">
        <f t="shared" si="15"/>
        <v>133146827.7316</v>
      </c>
      <c r="M254" s="669"/>
      <c r="N254" s="668">
        <f>SUM(C254:M254)</f>
        <v>586623993.24528003</v>
      </c>
    </row>
    <row r="255" spans="2:14" s="502" customFormat="1" x14ac:dyDescent="0.2">
      <c r="M255" s="665"/>
      <c r="N255" s="666"/>
    </row>
    <row r="256" spans="2:14" s="502" customFormat="1" x14ac:dyDescent="0.2">
      <c r="C256" s="667" t="str">
        <f t="shared" ref="C256:L256" si="16">C18</f>
        <v>Year 1</v>
      </c>
      <c r="D256" s="667" t="str">
        <f t="shared" si="16"/>
        <v>Year 2</v>
      </c>
      <c r="E256" s="667" t="str">
        <f t="shared" si="16"/>
        <v>Year 3</v>
      </c>
      <c r="F256" s="667" t="str">
        <f t="shared" si="16"/>
        <v>Year 4</v>
      </c>
      <c r="G256" s="667" t="str">
        <f t="shared" si="16"/>
        <v>Year 5</v>
      </c>
      <c r="H256" s="667" t="str">
        <f t="shared" si="16"/>
        <v>Year 6</v>
      </c>
      <c r="I256" s="667" t="str">
        <f t="shared" si="16"/>
        <v>Year 7</v>
      </c>
      <c r="J256" s="667" t="str">
        <f t="shared" si="16"/>
        <v>Year 8</v>
      </c>
      <c r="K256" s="667" t="str">
        <f t="shared" si="16"/>
        <v>Year 9</v>
      </c>
      <c r="L256" s="667" t="str">
        <f t="shared" si="16"/>
        <v>Year 10</v>
      </c>
      <c r="M256" s="665"/>
      <c r="N256" s="666"/>
    </row>
    <row r="257" spans="2:14" s="502" customFormat="1" x14ac:dyDescent="0.2">
      <c r="B257" s="502" t="s">
        <v>629</v>
      </c>
      <c r="C257" s="668">
        <f t="shared" ref="C257:M257" si="17">C20</f>
        <v>-1134193.2991200001</v>
      </c>
      <c r="D257" s="668">
        <f t="shared" si="17"/>
        <v>-803304.08927999996</v>
      </c>
      <c r="E257" s="668">
        <f t="shared" si="17"/>
        <v>-549934.36</v>
      </c>
      <c r="F257" s="668">
        <f t="shared" si="17"/>
        <v>-549934.36</v>
      </c>
      <c r="G257" s="668">
        <f t="shared" si="17"/>
        <v>-102634.36</v>
      </c>
      <c r="H257" s="668">
        <f t="shared" si="17"/>
        <v>-102634.36</v>
      </c>
      <c r="I257" s="668">
        <f t="shared" si="17"/>
        <v>-102634.36</v>
      </c>
      <c r="J257" s="668">
        <f t="shared" si="17"/>
        <v>-102634.36</v>
      </c>
      <c r="K257" s="668">
        <f t="shared" si="17"/>
        <v>-102634.36</v>
      </c>
      <c r="L257" s="668">
        <f t="shared" si="17"/>
        <v>-102634.36</v>
      </c>
      <c r="M257" s="668">
        <f t="shared" si="17"/>
        <v>0</v>
      </c>
      <c r="N257" s="668">
        <f>SUM(C257:M257)</f>
        <v>-3653172.268399999</v>
      </c>
    </row>
    <row r="258" spans="2:14" s="502" customFormat="1" x14ac:dyDescent="0.2">
      <c r="B258" s="502" t="s">
        <v>34</v>
      </c>
      <c r="C258" s="668">
        <f t="shared" ref="C258:M258" si="18">C19</f>
        <v>0</v>
      </c>
      <c r="D258" s="668">
        <f t="shared" si="18"/>
        <v>0</v>
      </c>
      <c r="E258" s="668">
        <f t="shared" si="18"/>
        <v>75927884.615384623</v>
      </c>
      <c r="F258" s="668">
        <f t="shared" si="18"/>
        <v>75927884.615384623</v>
      </c>
      <c r="G258" s="668">
        <f t="shared" si="18"/>
        <v>75927884.615384623</v>
      </c>
      <c r="H258" s="668">
        <f t="shared" si="18"/>
        <v>75927884.615384623</v>
      </c>
      <c r="I258" s="668">
        <f t="shared" si="18"/>
        <v>75927884.615384623</v>
      </c>
      <c r="J258" s="668">
        <f t="shared" si="18"/>
        <v>75927884.615384623</v>
      </c>
      <c r="K258" s="668">
        <f t="shared" si="18"/>
        <v>75927884.615384623</v>
      </c>
      <c r="L258" s="668">
        <f t="shared" si="18"/>
        <v>75927884.615384623</v>
      </c>
      <c r="M258" s="668">
        <f t="shared" si="18"/>
        <v>0</v>
      </c>
      <c r="N258" s="668">
        <f>SUM(C258:M258)</f>
        <v>607423076.92307699</v>
      </c>
    </row>
    <row r="259" spans="2:14" s="502" customFormat="1" x14ac:dyDescent="0.2">
      <c r="B259" s="502" t="s">
        <v>368</v>
      </c>
      <c r="C259" s="668">
        <f t="shared" ref="C259:M259" si="19">C21</f>
        <v>-1134193.2991200001</v>
      </c>
      <c r="D259" s="668">
        <f t="shared" si="19"/>
        <v>-803304.08927999996</v>
      </c>
      <c r="E259" s="668">
        <f t="shared" si="19"/>
        <v>75377950.255384624</v>
      </c>
      <c r="F259" s="668">
        <f t="shared" si="19"/>
        <v>75377950.255384624</v>
      </c>
      <c r="G259" s="668">
        <f t="shared" si="19"/>
        <v>75825250.255384624</v>
      </c>
      <c r="H259" s="668">
        <f t="shared" si="19"/>
        <v>75825250.255384624</v>
      </c>
      <c r="I259" s="668">
        <f t="shared" si="19"/>
        <v>75825250.255384624</v>
      </c>
      <c r="J259" s="668">
        <f t="shared" si="19"/>
        <v>75825250.255384624</v>
      </c>
      <c r="K259" s="668">
        <f t="shared" si="19"/>
        <v>75825250.255384624</v>
      </c>
      <c r="L259" s="668">
        <f t="shared" si="19"/>
        <v>75825250.255384624</v>
      </c>
      <c r="M259" s="668">
        <f t="shared" si="19"/>
        <v>0</v>
      </c>
      <c r="N259" s="668">
        <f>SUM(C259:M259)</f>
        <v>603769904.65467691</v>
      </c>
    </row>
    <row r="260" spans="2:14" s="502" customFormat="1" x14ac:dyDescent="0.2">
      <c r="B260" s="502" t="s">
        <v>367</v>
      </c>
      <c r="C260" s="668">
        <f t="shared" ref="C260:M260" si="20">C22</f>
        <v>-1134193.2991200001</v>
      </c>
      <c r="D260" s="668">
        <f t="shared" si="20"/>
        <v>-1937497.3884000001</v>
      </c>
      <c r="E260" s="668">
        <f t="shared" si="20"/>
        <v>73440452.866984621</v>
      </c>
      <c r="F260" s="668">
        <f t="shared" si="20"/>
        <v>148818403.12236923</v>
      </c>
      <c r="G260" s="668">
        <f t="shared" si="20"/>
        <v>224643653.37775385</v>
      </c>
      <c r="H260" s="668">
        <f t="shared" si="20"/>
        <v>300468903.63313848</v>
      </c>
      <c r="I260" s="668">
        <f t="shared" si="20"/>
        <v>376294153.8885231</v>
      </c>
      <c r="J260" s="668">
        <f t="shared" si="20"/>
        <v>452119404.14390773</v>
      </c>
      <c r="K260" s="668">
        <f t="shared" si="20"/>
        <v>527944654.39929235</v>
      </c>
      <c r="L260" s="668">
        <f t="shared" si="20"/>
        <v>603769904.65467691</v>
      </c>
      <c r="M260" s="668">
        <f t="shared" si="20"/>
        <v>0</v>
      </c>
      <c r="N260" s="668">
        <f>SUM(C260:M260)</f>
        <v>2704427839.3991265</v>
      </c>
    </row>
    <row r="261" spans="2:14" s="502" customFormat="1" x14ac:dyDescent="0.2">
      <c r="M261" s="665"/>
      <c r="N261" s="666"/>
    </row>
    <row r="262" spans="2:14" s="502" customFormat="1" x14ac:dyDescent="0.2">
      <c r="B262" s="502" t="s">
        <v>629</v>
      </c>
      <c r="C262" s="670">
        <f>C251</f>
        <v>-1134193.2991200001</v>
      </c>
      <c r="D262" s="670">
        <f t="shared" ref="D262:L262" si="21">D251</f>
        <v>-803304.08927999996</v>
      </c>
      <c r="E262" s="670">
        <f t="shared" si="21"/>
        <v>-549934.36</v>
      </c>
      <c r="F262" s="670">
        <f t="shared" si="21"/>
        <v>-549934.36</v>
      </c>
      <c r="G262" s="670">
        <f t="shared" si="21"/>
        <v>-102634.36</v>
      </c>
      <c r="H262" s="670">
        <f t="shared" si="21"/>
        <v>-102634.36</v>
      </c>
      <c r="I262" s="670">
        <f t="shared" si="21"/>
        <v>-102634.36</v>
      </c>
      <c r="J262" s="670">
        <f t="shared" si="21"/>
        <v>-102634.36</v>
      </c>
      <c r="K262" s="670">
        <f t="shared" si="21"/>
        <v>-102634.36</v>
      </c>
      <c r="L262" s="670">
        <f t="shared" si="21"/>
        <v>-102634.36</v>
      </c>
      <c r="M262" s="665"/>
      <c r="N262" s="668">
        <f>SUM(C262:M262)</f>
        <v>-3653172.268399999</v>
      </c>
    </row>
    <row r="263" spans="2:14" s="502" customFormat="1" x14ac:dyDescent="0.2">
      <c r="B263" s="502" t="s">
        <v>24</v>
      </c>
      <c r="C263" s="670">
        <f>C253</f>
        <v>-1134193.2991200001</v>
      </c>
      <c r="D263" s="670">
        <f t="shared" ref="D263:L263" si="22">D253</f>
        <v>-803304.08927999996</v>
      </c>
      <c r="E263" s="670">
        <f t="shared" si="22"/>
        <v>16550065.640000001</v>
      </c>
      <c r="F263" s="670">
        <f t="shared" si="22"/>
        <v>16550065.640000001</v>
      </c>
      <c r="G263" s="670">
        <f t="shared" si="22"/>
        <v>16997365.640000001</v>
      </c>
      <c r="H263" s="670">
        <f t="shared" si="22"/>
        <v>16997365.640000001</v>
      </c>
      <c r="I263" s="670">
        <f t="shared" si="22"/>
        <v>16997365.640000001</v>
      </c>
      <c r="J263" s="670">
        <f t="shared" si="22"/>
        <v>16997365.640000001</v>
      </c>
      <c r="K263" s="670">
        <f t="shared" si="22"/>
        <v>16997365.640000001</v>
      </c>
      <c r="L263" s="670">
        <f t="shared" si="22"/>
        <v>16997365.640000001</v>
      </c>
      <c r="M263" s="670"/>
      <c r="N263" s="668">
        <f>SUM(C263:M263)</f>
        <v>133146827.7316</v>
      </c>
    </row>
    <row r="264" spans="2:14" s="502" customFormat="1" x14ac:dyDescent="0.2">
      <c r="B264" s="502" t="s">
        <v>24</v>
      </c>
      <c r="C264" s="670">
        <f>C259</f>
        <v>-1134193.2991200001</v>
      </c>
      <c r="D264" s="670">
        <f t="shared" ref="D264:L264" si="23">D259</f>
        <v>-803304.08927999996</v>
      </c>
      <c r="E264" s="670">
        <f t="shared" si="23"/>
        <v>75377950.255384624</v>
      </c>
      <c r="F264" s="670">
        <f t="shared" si="23"/>
        <v>75377950.255384624</v>
      </c>
      <c r="G264" s="670">
        <f t="shared" si="23"/>
        <v>75825250.255384624</v>
      </c>
      <c r="H264" s="670">
        <f t="shared" si="23"/>
        <v>75825250.255384624</v>
      </c>
      <c r="I264" s="670">
        <f t="shared" si="23"/>
        <v>75825250.255384624</v>
      </c>
      <c r="J264" s="670">
        <f t="shared" si="23"/>
        <v>75825250.255384624</v>
      </c>
      <c r="K264" s="670">
        <f t="shared" si="23"/>
        <v>75825250.255384624</v>
      </c>
      <c r="L264" s="670">
        <f t="shared" si="23"/>
        <v>75825250.255384624</v>
      </c>
      <c r="M264" s="665"/>
      <c r="N264" s="668">
        <f>SUM(C264:M264)</f>
        <v>603769904.65467691</v>
      </c>
    </row>
    <row r="265" spans="2:14" s="502" customFormat="1" x14ac:dyDescent="0.2">
      <c r="M265" s="665"/>
      <c r="N265" s="668"/>
    </row>
    <row r="266" spans="2:14" s="502" customFormat="1" x14ac:dyDescent="0.2">
      <c r="M266" s="665"/>
      <c r="N266" s="666"/>
    </row>
    <row r="267" spans="2:14" s="502" customFormat="1" x14ac:dyDescent="0.2">
      <c r="M267" s="665"/>
      <c r="N267" s="666"/>
    </row>
    <row r="268" spans="2:14" s="502" customFormat="1" x14ac:dyDescent="0.2">
      <c r="M268" s="665"/>
      <c r="N268" s="666"/>
    </row>
    <row r="269" spans="2:14" s="502" customFormat="1" x14ac:dyDescent="0.2">
      <c r="M269" s="665"/>
      <c r="N269" s="666"/>
    </row>
    <row r="270" spans="2:14" s="502" customFormat="1" x14ac:dyDescent="0.2">
      <c r="M270" s="665"/>
      <c r="N270" s="666"/>
    </row>
    <row r="271" spans="2:14" s="502" customFormat="1" x14ac:dyDescent="0.2">
      <c r="M271" s="665"/>
      <c r="N271" s="666"/>
    </row>
    <row r="272" spans="2:14" s="502" customFormat="1" x14ac:dyDescent="0.2">
      <c r="M272" s="665"/>
      <c r="N272" s="666"/>
    </row>
    <row r="273" spans="13:14" s="502" customFormat="1" x14ac:dyDescent="0.2">
      <c r="M273" s="665"/>
      <c r="N273" s="666"/>
    </row>
    <row r="274" spans="13:14" s="502" customFormat="1" x14ac:dyDescent="0.2">
      <c r="M274" s="665"/>
      <c r="N274" s="666"/>
    </row>
    <row r="275" spans="13:14" s="502" customFormat="1" x14ac:dyDescent="0.2">
      <c r="M275" s="665"/>
      <c r="N275" s="666"/>
    </row>
    <row r="276" spans="13:14" s="502" customFormat="1" x14ac:dyDescent="0.2">
      <c r="M276" s="665"/>
      <c r="N276" s="666"/>
    </row>
    <row r="277" spans="13:14" s="502" customFormat="1" x14ac:dyDescent="0.2">
      <c r="M277" s="665"/>
      <c r="N277" s="666"/>
    </row>
  </sheetData>
  <sheetProtection password="CC7C" sheet="1" objects="1" scenarios="1"/>
  <customSheetViews>
    <customSheetView guid="{4F1DA828-56A9-4F85-92B4-9F65C862495B}" scale="70" showGridLines="0" fitToPage="1" hiddenRows="1" topLeftCell="A3">
      <selection activeCell="G14" sqref="G14"/>
      <pageMargins left="0.5" right="0.5" top="0.65" bottom="0.65" header="0.3" footer="0.26"/>
      <pageSetup paperSize="5" scale="76" fitToHeight="0" orientation="landscape" r:id="rId1"/>
      <headerFooter alignWithMargins="0">
        <oddHeader>&amp;L&amp;10[Agency/Organization Name]
[Project Name]&amp;R&amp;10BUSINESS CASE
[Version Number] [Revision Date]</oddHeader>
        <oddFooter>&amp;L&amp;10Based on
DIR Document 10BC-W1-9&amp;C&amp;10Page &amp;P of &amp;N&amp;R&amp;10Business Justification</oddFooter>
      </headerFooter>
    </customSheetView>
    <customSheetView guid="{7AC71C8E-3F0A-447A-859A-02DD2BAED197}" scale="75" showGridLines="0" fitToPage="1" hiddenRows="1" showRuler="0">
      <pageMargins left="0.35" right="0.35" top="0.52" bottom="0.52" header="0.35" footer="0.26"/>
      <pageSetup paperSize="5" scale="80" fitToHeight="0" orientation="landscape" r:id="rId2"/>
      <headerFooter alignWithMargins="0">
        <oddHeader>&amp;L&amp;10&lt;Agency name&gt; &amp;C&amp;"Arial,Bold"Financial Analysis&amp;R&amp;10&lt;Project Name&gt;</oddHeader>
        <oddFooter>&amp;L&amp;F&amp;CPage &amp;P of &amp;N&amp;R&amp;D &amp;T</oddFooter>
      </headerFooter>
    </customSheetView>
  </customSheetViews>
  <phoneticPr fontId="0" type="noConversion"/>
  <pageMargins left="0.5" right="0.5" top="0.65" bottom="0.65" header="0.3" footer="0.26"/>
  <pageSetup scale="99" fitToHeight="0" orientation="landscape" cellComments="asDisplayed" r:id="rId3"/>
  <headerFooter alignWithMargins="0">
    <oddHeader>&amp;L&amp;10[Agency/Organization Name]
[Project Name]&amp;R&amp;10BUSINESS CASE WORKBOOK 
[Version Number] [Revision Date mm/dd/yy]</oddHeader>
    <oddFooter>&amp;L&amp;10Based on DIR Document 10BC-W2-2&amp;C&amp;10&amp;K000000Page &amp;P of &amp;N&amp;R&amp;10Business Justification</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indexed="9"/>
  </sheetPr>
  <dimension ref="A1:O34"/>
  <sheetViews>
    <sheetView zoomScaleNormal="100" workbookViewId="0">
      <selection activeCell="A2" sqref="A2"/>
    </sheetView>
  </sheetViews>
  <sheetFormatPr defaultRowHeight="14.25" x14ac:dyDescent="0.2"/>
  <cols>
    <col min="1" max="1" width="5.375" customWidth="1"/>
    <col min="2" max="2" width="32.875" customWidth="1"/>
    <col min="3" max="8" width="9.25" customWidth="1"/>
    <col min="9" max="13" width="7.875" customWidth="1"/>
  </cols>
  <sheetData>
    <row r="1" spans="1:15" s="2" customFormat="1" ht="31.5" customHeight="1" x14ac:dyDescent="0.2">
      <c r="A1" s="5" t="s">
        <v>738</v>
      </c>
      <c r="B1" s="5"/>
      <c r="C1" s="5"/>
      <c r="D1" s="14"/>
      <c r="E1" s="14"/>
      <c r="F1" s="14"/>
      <c r="G1" s="14"/>
      <c r="H1" s="14"/>
      <c r="I1" s="14"/>
      <c r="J1" s="14"/>
      <c r="K1" s="14"/>
      <c r="L1" s="14"/>
      <c r="N1" s="19"/>
      <c r="O1" s="15"/>
    </row>
    <row r="2" spans="1:15" x14ac:dyDescent="0.2">
      <c r="A2" s="363" t="s">
        <v>458</v>
      </c>
    </row>
    <row r="3" spans="1:15" ht="15" thickBot="1" x14ac:dyDescent="0.25"/>
    <row r="4" spans="1:15" s="363" customFormat="1" ht="13.5" thickBot="1" x14ac:dyDescent="0.25">
      <c r="A4" s="366" t="s">
        <v>448</v>
      </c>
      <c r="B4" s="367"/>
      <c r="C4" s="367"/>
      <c r="D4" s="368"/>
    </row>
    <row r="5" spans="1:15" s="373" customFormat="1" ht="35.1" customHeight="1" thickBot="1" x14ac:dyDescent="0.25">
      <c r="A5" s="370" t="s">
        <v>89</v>
      </c>
      <c r="B5" s="371" t="s">
        <v>40</v>
      </c>
      <c r="C5" s="372" t="s">
        <v>442</v>
      </c>
      <c r="D5" s="372" t="s">
        <v>281</v>
      </c>
    </row>
    <row r="6" spans="1:15" ht="15" customHeight="1" thickBot="1" x14ac:dyDescent="0.25">
      <c r="A6" s="374" t="s">
        <v>168</v>
      </c>
      <c r="B6" s="375" t="s">
        <v>42</v>
      </c>
      <c r="C6" s="376">
        <v>35</v>
      </c>
      <c r="D6" s="376">
        <f>Evaluation_Factors!C14</f>
        <v>21</v>
      </c>
    </row>
    <row r="7" spans="1:15" ht="15" customHeight="1" thickBot="1" x14ac:dyDescent="0.25">
      <c r="A7" s="374" t="s">
        <v>169</v>
      </c>
      <c r="B7" s="375" t="s">
        <v>41</v>
      </c>
      <c r="C7" s="376">
        <v>45</v>
      </c>
      <c r="D7" s="376">
        <f>Evaluation_Factors!C26</f>
        <v>27</v>
      </c>
    </row>
    <row r="8" spans="1:15" ht="15" customHeight="1" thickBot="1" x14ac:dyDescent="0.25">
      <c r="A8" s="374" t="s">
        <v>170</v>
      </c>
      <c r="B8" s="375" t="s">
        <v>341</v>
      </c>
      <c r="C8" s="376">
        <v>35</v>
      </c>
      <c r="D8" s="376">
        <f>Evaluation_Factors!C37</f>
        <v>21</v>
      </c>
    </row>
    <row r="9" spans="1:15" ht="15" customHeight="1" thickBot="1" x14ac:dyDescent="0.25">
      <c r="A9" s="374" t="s">
        <v>171</v>
      </c>
      <c r="B9" s="375" t="s">
        <v>337</v>
      </c>
      <c r="C9" s="376">
        <v>60</v>
      </c>
      <c r="D9" s="376">
        <f>Evaluation_Factors!C52</f>
        <v>36</v>
      </c>
    </row>
    <row r="10" spans="1:15" ht="15" customHeight="1" thickBot="1" x14ac:dyDescent="0.25">
      <c r="A10" s="374" t="s">
        <v>352</v>
      </c>
      <c r="B10" s="375" t="s">
        <v>351</v>
      </c>
      <c r="C10" s="376">
        <v>45</v>
      </c>
      <c r="D10" s="376">
        <f>Evaluation_Factors!C64</f>
        <v>27</v>
      </c>
    </row>
    <row r="11" spans="1:15" ht="15" customHeight="1" thickBot="1" x14ac:dyDescent="0.25">
      <c r="A11" s="374" t="s">
        <v>172</v>
      </c>
      <c r="B11" s="375" t="s">
        <v>106</v>
      </c>
      <c r="C11" s="376">
        <v>30</v>
      </c>
      <c r="D11" s="376">
        <f>Evaluation_Factors!C73</f>
        <v>18</v>
      </c>
    </row>
    <row r="12" spans="1:15" s="369" customFormat="1" ht="15" customHeight="1" thickBot="1" x14ac:dyDescent="0.25">
      <c r="A12" s="377"/>
      <c r="B12" s="378" t="s">
        <v>449</v>
      </c>
      <c r="C12" s="379">
        <v>250</v>
      </c>
      <c r="D12" s="379">
        <f>SUM(D6:D11)</f>
        <v>150</v>
      </c>
    </row>
    <row r="13" spans="1:15" x14ac:dyDescent="0.2">
      <c r="A13" s="365"/>
    </row>
    <row r="14" spans="1:15" x14ac:dyDescent="0.2">
      <c r="A14" s="363"/>
    </row>
    <row r="15" spans="1:15" ht="15" thickBot="1" x14ac:dyDescent="0.25">
      <c r="A15" s="363"/>
    </row>
    <row r="16" spans="1:15" s="363" customFormat="1" ht="13.5" thickBot="1" x14ac:dyDescent="0.25">
      <c r="A16" s="671" t="s">
        <v>450</v>
      </c>
      <c r="B16" s="672"/>
      <c r="C16" s="672"/>
      <c r="D16" s="672"/>
      <c r="E16" s="672"/>
      <c r="F16" s="672"/>
      <c r="G16" s="672"/>
      <c r="H16" s="673"/>
    </row>
    <row r="17" spans="1:8" s="373" customFormat="1" ht="29.25" customHeight="1" thickBot="1" x14ac:dyDescent="0.25">
      <c r="A17" s="674" t="s">
        <v>89</v>
      </c>
      <c r="B17" s="675" t="s">
        <v>451</v>
      </c>
      <c r="C17" s="676" t="s">
        <v>77</v>
      </c>
      <c r="D17" s="676" t="s">
        <v>78</v>
      </c>
      <c r="E17" s="676" t="s">
        <v>79</v>
      </c>
      <c r="F17" s="676" t="s">
        <v>80</v>
      </c>
      <c r="G17" s="676" t="s">
        <v>81</v>
      </c>
      <c r="H17" s="676" t="s">
        <v>455</v>
      </c>
    </row>
    <row r="18" spans="1:8" s="380" customFormat="1" ht="15" customHeight="1" thickBot="1" x14ac:dyDescent="0.25">
      <c r="A18" s="677" t="s">
        <v>145</v>
      </c>
      <c r="B18" s="678" t="s">
        <v>452</v>
      </c>
      <c r="C18" s="679">
        <f>Financial_Analysis!C4</f>
        <v>0</v>
      </c>
      <c r="D18" s="679">
        <f>Financial_Analysis!D4</f>
        <v>0</v>
      </c>
      <c r="E18" s="679">
        <f>Financial_Analysis!E4</f>
        <v>17100000</v>
      </c>
      <c r="F18" s="679">
        <f>Financial_Analysis!F4</f>
        <v>17100000</v>
      </c>
      <c r="G18" s="679">
        <f>Financial_Analysis!G4</f>
        <v>17100000</v>
      </c>
      <c r="H18" s="680">
        <f>Financial_Analysis!N4</f>
        <v>136800000</v>
      </c>
    </row>
    <row r="19" spans="1:8" s="380" customFormat="1" ht="15" customHeight="1" thickBot="1" x14ac:dyDescent="0.25">
      <c r="A19" s="677" t="s">
        <v>146</v>
      </c>
      <c r="B19" s="678" t="str">
        <f>Instructions!B136</f>
        <v>Business Case Cost (Cash Outflow)</v>
      </c>
      <c r="C19" s="679">
        <f>Financial_Analysis!C5</f>
        <v>-1134193.2991200001</v>
      </c>
      <c r="D19" s="679">
        <f>Financial_Analysis!D5</f>
        <v>-803304.08927999996</v>
      </c>
      <c r="E19" s="679">
        <f>Financial_Analysis!E5</f>
        <v>-549934.36</v>
      </c>
      <c r="F19" s="679">
        <f>Financial_Analysis!F5</f>
        <v>-549934.36</v>
      </c>
      <c r="G19" s="679">
        <f>Financial_Analysis!G5</f>
        <v>-102634.36</v>
      </c>
      <c r="H19" s="680">
        <f>Financial_Analysis!N5</f>
        <v>-3653172.268399999</v>
      </c>
    </row>
    <row r="20" spans="1:8" s="380" customFormat="1" ht="15" customHeight="1" thickBot="1" x14ac:dyDescent="0.25">
      <c r="A20" s="677" t="s">
        <v>147</v>
      </c>
      <c r="B20" s="678" t="s">
        <v>25</v>
      </c>
      <c r="C20" s="679">
        <f>Financial_Analysis!C6</f>
        <v>-1134193.2991200001</v>
      </c>
      <c r="D20" s="679">
        <f>Financial_Analysis!D6</f>
        <v>-803304.08927999996</v>
      </c>
      <c r="E20" s="679">
        <f>Financial_Analysis!E6</f>
        <v>16550065.640000001</v>
      </c>
      <c r="F20" s="679">
        <f>Financial_Analysis!F6</f>
        <v>16550065.640000001</v>
      </c>
      <c r="G20" s="679">
        <f>Financial_Analysis!G6</f>
        <v>16997365.640000001</v>
      </c>
      <c r="H20" s="680">
        <f>Financial_Analysis!N6</f>
        <v>133146827.7316</v>
      </c>
    </row>
    <row r="21" spans="1:8" s="380" customFormat="1" ht="15" customHeight="1" thickBot="1" x14ac:dyDescent="0.25">
      <c r="A21" s="677" t="s">
        <v>148</v>
      </c>
      <c r="B21" s="678" t="s">
        <v>22</v>
      </c>
      <c r="C21" s="679">
        <f>Financial_Analysis!C7</f>
        <v>-1134193.2991200001</v>
      </c>
      <c r="D21" s="679">
        <f>Financial_Analysis!D7</f>
        <v>-1937497.3884000001</v>
      </c>
      <c r="E21" s="679">
        <f>Financial_Analysis!E7</f>
        <v>14612568.251600001</v>
      </c>
      <c r="F21" s="679">
        <f>Financial_Analysis!F7</f>
        <v>31162633.891600002</v>
      </c>
      <c r="G21" s="679">
        <f>Financial_Analysis!G7</f>
        <v>48159999.531599998</v>
      </c>
      <c r="H21" s="680">
        <f>Financial_Analysis!N7</f>
        <v>133146827.7316</v>
      </c>
    </row>
    <row r="22" spans="1:8" s="380" customFormat="1" ht="15" customHeight="1" thickBot="1" x14ac:dyDescent="0.25">
      <c r="A22" s="677" t="s">
        <v>151</v>
      </c>
      <c r="B22" s="678" t="s">
        <v>453</v>
      </c>
      <c r="C22" s="681" t="str">
        <f>Financial_Analysis!C14</f>
        <v>N/A</v>
      </c>
      <c r="D22" s="681" t="str">
        <f>Financial_Analysis!D14</f>
        <v>N/A</v>
      </c>
      <c r="E22" s="681">
        <f ca="1">Financial_Analysis!E14</f>
        <v>2.1170688642900148</v>
      </c>
      <c r="F22" s="681" t="str">
        <f ca="1">Financial_Analysis!F14</f>
        <v xml:space="preserve"> </v>
      </c>
      <c r="G22" s="681" t="str">
        <f ca="1">Financial_Analysis!G14</f>
        <v xml:space="preserve"> </v>
      </c>
      <c r="H22" s="682">
        <f ca="1">Financial_Analysis!N14</f>
        <v>2.1170688642900148</v>
      </c>
    </row>
    <row r="23" spans="1:8" x14ac:dyDescent="0.2">
      <c r="A23" s="363"/>
    </row>
    <row r="24" spans="1:8" x14ac:dyDescent="0.2">
      <c r="A24" s="363"/>
    </row>
    <row r="25" spans="1:8" ht="15" thickBot="1" x14ac:dyDescent="0.25">
      <c r="A25" s="363"/>
    </row>
    <row r="26" spans="1:8" s="363" customFormat="1" ht="13.5" thickBot="1" x14ac:dyDescent="0.25">
      <c r="A26" s="671" t="s">
        <v>454</v>
      </c>
      <c r="B26" s="672"/>
      <c r="C26" s="672"/>
      <c r="D26" s="672"/>
      <c r="E26" s="672"/>
      <c r="F26" s="672"/>
      <c r="G26" s="672"/>
      <c r="H26" s="673"/>
    </row>
    <row r="27" spans="1:8" s="373" customFormat="1" ht="29.25" customHeight="1" thickBot="1" x14ac:dyDescent="0.25">
      <c r="A27" s="674" t="s">
        <v>89</v>
      </c>
      <c r="B27" s="675" t="s">
        <v>451</v>
      </c>
      <c r="C27" s="676" t="s">
        <v>77</v>
      </c>
      <c r="D27" s="676" t="s">
        <v>78</v>
      </c>
      <c r="E27" s="676" t="s">
        <v>79</v>
      </c>
      <c r="F27" s="676" t="s">
        <v>80</v>
      </c>
      <c r="G27" s="676" t="s">
        <v>81</v>
      </c>
      <c r="H27" s="676" t="s">
        <v>455</v>
      </c>
    </row>
    <row r="28" spans="1:8" s="380" customFormat="1" ht="15" customHeight="1" thickBot="1" x14ac:dyDescent="0.25">
      <c r="A28" s="677" t="s">
        <v>153</v>
      </c>
      <c r="B28" s="678" t="s">
        <v>34</v>
      </c>
      <c r="C28" s="679">
        <f>Financial_Analysis!C19</f>
        <v>0</v>
      </c>
      <c r="D28" s="679">
        <f>Financial_Analysis!D19</f>
        <v>0</v>
      </c>
      <c r="E28" s="679">
        <f>Financial_Analysis!E19</f>
        <v>75927884.615384623</v>
      </c>
      <c r="F28" s="679">
        <f>Financial_Analysis!F19</f>
        <v>75927884.615384623</v>
      </c>
      <c r="G28" s="679">
        <f>Financial_Analysis!G19</f>
        <v>75927884.615384623</v>
      </c>
      <c r="H28" s="680">
        <f>Financial_Analysis!N19</f>
        <v>607423076.92307699</v>
      </c>
    </row>
    <row r="29" spans="1:8" s="380" customFormat="1" ht="12" thickBot="1" x14ac:dyDescent="0.25">
      <c r="A29" s="677" t="s">
        <v>154</v>
      </c>
      <c r="B29" s="678" t="str">
        <f>Instructions!B145</f>
        <v>Business Case Cost</v>
      </c>
      <c r="C29" s="679">
        <f>Financial_Analysis!C20</f>
        <v>-1134193.2991200001</v>
      </c>
      <c r="D29" s="679">
        <f>Financial_Analysis!D20</f>
        <v>-803304.08927999996</v>
      </c>
      <c r="E29" s="679">
        <f>Financial_Analysis!E20</f>
        <v>-549934.36</v>
      </c>
      <c r="F29" s="679">
        <f>Financial_Analysis!F20</f>
        <v>-549934.36</v>
      </c>
      <c r="G29" s="679">
        <f>Financial_Analysis!G20</f>
        <v>-102634.36</v>
      </c>
      <c r="H29" s="680">
        <f>Financial_Analysis!N20</f>
        <v>-3653172.268399999</v>
      </c>
    </row>
    <row r="30" spans="1:8" s="380" customFormat="1" ht="12" thickBot="1" x14ac:dyDescent="0.25">
      <c r="A30" s="677" t="s">
        <v>155</v>
      </c>
      <c r="B30" s="678" t="s">
        <v>27</v>
      </c>
      <c r="C30" s="679">
        <f>Financial_Analysis!C21</f>
        <v>-1134193.2991200001</v>
      </c>
      <c r="D30" s="679">
        <f>Financial_Analysis!D21</f>
        <v>-803304.08927999996</v>
      </c>
      <c r="E30" s="679">
        <f>Financial_Analysis!E21</f>
        <v>75377950.255384624</v>
      </c>
      <c r="F30" s="679">
        <f>Financial_Analysis!F21</f>
        <v>75377950.255384624</v>
      </c>
      <c r="G30" s="679">
        <f>Financial_Analysis!G21</f>
        <v>75825250.255384624</v>
      </c>
      <c r="H30" s="680">
        <f>Financial_Analysis!N21</f>
        <v>603769904.65467691</v>
      </c>
    </row>
    <row r="31" spans="1:8" s="380" customFormat="1" ht="12" thickBot="1" x14ac:dyDescent="0.25">
      <c r="A31" s="677" t="s">
        <v>156</v>
      </c>
      <c r="B31" s="678" t="s">
        <v>349</v>
      </c>
      <c r="C31" s="679">
        <f>Financial_Analysis!C22</f>
        <v>-1134193.2991200001</v>
      </c>
      <c r="D31" s="679">
        <f>Financial_Analysis!D22</f>
        <v>-1937497.3884000001</v>
      </c>
      <c r="E31" s="679">
        <f>Financial_Analysis!E22</f>
        <v>73440452.866984621</v>
      </c>
      <c r="F31" s="679">
        <f>Financial_Analysis!F22</f>
        <v>148818403.12236923</v>
      </c>
      <c r="G31" s="679">
        <f>Financial_Analysis!G22</f>
        <v>224643653.37775385</v>
      </c>
      <c r="H31" s="680">
        <f>Financial_Analysis!N22</f>
        <v>603769904.65467691</v>
      </c>
    </row>
    <row r="32" spans="1:8" ht="15" x14ac:dyDescent="0.25">
      <c r="A32" s="683"/>
      <c r="B32" s="683"/>
      <c r="C32" s="683"/>
      <c r="D32" s="683"/>
      <c r="E32" s="683"/>
      <c r="F32" s="683"/>
      <c r="G32" s="683"/>
      <c r="H32" s="683"/>
    </row>
    <row r="34" spans="1:1" x14ac:dyDescent="0.2">
      <c r="A34" s="364"/>
    </row>
  </sheetData>
  <customSheetViews>
    <customSheetView guid="{4F1DA828-56A9-4F85-92B4-9F65C862495B}" fitToPage="1" topLeftCell="A4">
      <selection activeCell="G22" sqref="G22"/>
      <pageMargins left="0.5" right="0.5" top="0.65" bottom="0.65" header="0.3" footer="0.26"/>
      <pageSetup fitToHeight="0" orientation="landscape" r:id="rId1"/>
      <headerFooter alignWithMargins="0">
        <oddHeader>&amp;L&amp;10[Agency/Organization Name]
[Project Name]&amp;R&amp;10BUSINESS CASE
[Version Number] [Revision Date]</oddHeader>
        <oddFooter>&amp;L&amp;10Based on
DIR Document 10BC-W1-9&amp;C&amp;10Page &amp;P of &amp;N&amp;R&amp;10Business Justification</oddFooter>
      </headerFooter>
    </customSheetView>
  </customSheetViews>
  <phoneticPr fontId="17" type="noConversion"/>
  <pageMargins left="0.5" right="0.5" top="0.65" bottom="0.65" header="0.3" footer="0.26"/>
  <pageSetup scale="99" fitToHeight="0" orientation="landscape" cellComments="asDisplayed" r:id="rId2"/>
  <headerFooter alignWithMargins="0">
    <oddHeader>&amp;L&amp;10[Agency/Organization Name]
[Project Name]&amp;R&amp;10BUSINESS CASE WORKBOOK 
[Version Number] [Revision Date mm/dd/yy]</oddHeader>
    <oddFooter>&amp;L&amp;10Based on DIR Document 10BC-W2-2&amp;C&amp;10&amp;K000000Page &amp;P of &amp;N&amp;R&amp;10Business Justification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H377"/>
  <sheetViews>
    <sheetView tabSelected="1" zoomScale="75" zoomScaleNormal="75" workbookViewId="0">
      <pane xSplit="2" ySplit="5" topLeftCell="J6" activePane="bottomRight" state="frozenSplit"/>
      <selection activeCell="E19" sqref="E19"/>
      <selection pane="topRight" activeCell="E19" sqref="E19"/>
      <selection pane="bottomLeft" activeCell="E19" sqref="E19"/>
      <selection pane="bottomRight" activeCell="A2" sqref="A2"/>
    </sheetView>
  </sheetViews>
  <sheetFormatPr defaultColWidth="9" defaultRowHeight="14.25" x14ac:dyDescent="0.2"/>
  <cols>
    <col min="1" max="1" width="5.75" style="8" customWidth="1"/>
    <col min="2" max="2" width="40.75" style="8" customWidth="1"/>
    <col min="3" max="4" width="12.75" style="8" customWidth="1"/>
    <col min="5" max="5" width="18.375" style="8" customWidth="1"/>
    <col min="6" max="7" width="12.75" style="8" customWidth="1"/>
    <col min="8" max="8" width="18.375" style="8" customWidth="1"/>
    <col min="9" max="10" width="12.75" style="8" customWidth="1"/>
    <col min="11" max="11" width="18.375" style="8" customWidth="1"/>
    <col min="12" max="13" width="12.75" style="8" customWidth="1"/>
    <col min="14" max="14" width="18.375" style="8" customWidth="1"/>
    <col min="15" max="16" width="12.75" style="8" customWidth="1"/>
    <col min="17" max="17" width="18.375" style="8" customWidth="1"/>
    <col min="18" max="19" width="12.75" style="8" customWidth="1"/>
    <col min="20" max="20" width="18.375" style="8" customWidth="1"/>
    <col min="21" max="22" width="12.75" style="8" customWidth="1"/>
    <col min="23" max="23" width="18.375" style="8" customWidth="1"/>
    <col min="24" max="25" width="12.75" style="8" customWidth="1"/>
    <col min="26" max="26" width="18.375" style="8" customWidth="1"/>
    <col min="27" max="28" width="12.75" style="8" customWidth="1"/>
    <col min="29" max="29" width="18.375" style="8" customWidth="1"/>
    <col min="30" max="31" width="12.75" style="8" customWidth="1"/>
    <col min="32" max="32" width="18.375" style="8" customWidth="1"/>
    <col min="33" max="33" width="0.875" style="8" customWidth="1"/>
    <col min="34" max="34" width="14.25" style="15" customWidth="1"/>
    <col min="35" max="16384" width="9" style="8"/>
  </cols>
  <sheetData>
    <row r="1" spans="1:34" s="2" customFormat="1" ht="42" customHeight="1" thickTop="1" thickBot="1" x14ac:dyDescent="0.25">
      <c r="A1" s="5" t="s">
        <v>739</v>
      </c>
      <c r="B1" s="5"/>
      <c r="C1" s="444"/>
      <c r="D1" s="14"/>
      <c r="E1" s="14"/>
      <c r="F1" s="14"/>
      <c r="G1" s="14"/>
      <c r="H1" s="608" t="s">
        <v>583</v>
      </c>
      <c r="I1" s="606"/>
      <c r="J1" s="610" t="s">
        <v>584</v>
      </c>
      <c r="K1" s="607"/>
      <c r="L1" s="607"/>
      <c r="M1" s="609"/>
      <c r="N1" s="638"/>
      <c r="O1" s="3"/>
      <c r="P1" s="3"/>
      <c r="Q1" s="14"/>
      <c r="R1" s="14"/>
      <c r="S1" s="14"/>
      <c r="T1" s="14"/>
      <c r="U1" s="14"/>
      <c r="V1" s="14"/>
      <c r="W1" s="14"/>
      <c r="X1" s="14"/>
      <c r="Y1" s="14"/>
      <c r="Z1" s="14"/>
      <c r="AA1" s="14"/>
      <c r="AB1" s="14"/>
      <c r="AC1" s="14"/>
      <c r="AD1" s="14"/>
      <c r="AE1" s="14"/>
      <c r="AF1" s="14"/>
      <c r="AG1" s="19"/>
      <c r="AH1" s="15"/>
    </row>
    <row r="2" spans="1:34" s="2" customFormat="1" ht="12" customHeight="1" thickTop="1" thickBot="1" x14ac:dyDescent="0.25">
      <c r="A2" s="5"/>
      <c r="B2" s="5"/>
      <c r="C2" s="444"/>
      <c r="D2" s="14"/>
      <c r="E2" s="14"/>
      <c r="F2" s="14"/>
      <c r="G2" s="14"/>
      <c r="H2" s="14"/>
      <c r="I2" s="14"/>
      <c r="J2" s="14"/>
      <c r="K2" s="635"/>
      <c r="L2" s="637"/>
      <c r="M2" s="636"/>
      <c r="N2" s="14"/>
      <c r="O2" s="14"/>
      <c r="P2" s="14"/>
      <c r="Q2" s="14"/>
      <c r="R2" s="14"/>
      <c r="S2" s="14"/>
      <c r="T2" s="14"/>
      <c r="U2" s="14"/>
      <c r="V2" s="14"/>
      <c r="W2" s="14"/>
      <c r="X2" s="14"/>
      <c r="Y2" s="14"/>
      <c r="Z2" s="14"/>
      <c r="AA2" s="14"/>
      <c r="AB2" s="14"/>
      <c r="AC2" s="14"/>
      <c r="AD2" s="14"/>
      <c r="AE2" s="14"/>
      <c r="AF2" s="14"/>
      <c r="AG2" s="19"/>
      <c r="AH2" s="15"/>
    </row>
    <row r="3" spans="1:34" s="69" customFormat="1" ht="91.5" customHeight="1" thickTop="1" x14ac:dyDescent="0.2">
      <c r="A3" s="445" t="s">
        <v>516</v>
      </c>
      <c r="B3" s="446" t="s">
        <v>76</v>
      </c>
      <c r="C3" s="825" t="s">
        <v>77</v>
      </c>
      <c r="D3" s="826"/>
      <c r="E3" s="827"/>
      <c r="F3" s="825" t="s">
        <v>78</v>
      </c>
      <c r="G3" s="826"/>
      <c r="H3" s="827"/>
      <c r="I3" s="825" t="s">
        <v>79</v>
      </c>
      <c r="J3" s="826"/>
      <c r="K3" s="827"/>
      <c r="L3" s="825" t="s">
        <v>80</v>
      </c>
      <c r="M3" s="826"/>
      <c r="N3" s="827"/>
      <c r="O3" s="825" t="s">
        <v>81</v>
      </c>
      <c r="P3" s="826"/>
      <c r="Q3" s="827"/>
      <c r="R3" s="825" t="s">
        <v>82</v>
      </c>
      <c r="S3" s="826"/>
      <c r="T3" s="827"/>
      <c r="U3" s="825" t="s">
        <v>83</v>
      </c>
      <c r="V3" s="826"/>
      <c r="W3" s="827"/>
      <c r="X3" s="825" t="s">
        <v>84</v>
      </c>
      <c r="Y3" s="826"/>
      <c r="Z3" s="827"/>
      <c r="AA3" s="825" t="s">
        <v>85</v>
      </c>
      <c r="AB3" s="826"/>
      <c r="AC3" s="827"/>
      <c r="AD3" s="825" t="s">
        <v>86</v>
      </c>
      <c r="AE3" s="826"/>
      <c r="AF3" s="827"/>
      <c r="AG3" s="447"/>
      <c r="AH3" s="639" t="s">
        <v>610</v>
      </c>
    </row>
    <row r="4" spans="1:34" s="69" customFormat="1" ht="24.75" customHeight="1" x14ac:dyDescent="0.2">
      <c r="A4" s="461"/>
      <c r="B4" s="462"/>
      <c r="C4" s="822" t="str">
        <f>Cost_Analysis!D3</f>
        <v>FY2014</v>
      </c>
      <c r="D4" s="823"/>
      <c r="E4" s="824"/>
      <c r="F4" s="822" t="str">
        <f>Cost_Analysis!E3</f>
        <v>FY2015</v>
      </c>
      <c r="G4" s="823"/>
      <c r="H4" s="824"/>
      <c r="I4" s="822" t="str">
        <f>Cost_Analysis!F3</f>
        <v>FY2016</v>
      </c>
      <c r="J4" s="823"/>
      <c r="K4" s="824"/>
      <c r="L4" s="822" t="str">
        <f>Cost_Analysis!G3</f>
        <v>FY2017</v>
      </c>
      <c r="M4" s="823"/>
      <c r="N4" s="824"/>
      <c r="O4" s="822" t="str">
        <f>Cost_Analysis!H3</f>
        <v>FY2018</v>
      </c>
      <c r="P4" s="823"/>
      <c r="Q4" s="824"/>
      <c r="R4" s="822" t="str">
        <f>Cost_Analysis!I3</f>
        <v>FY2019</v>
      </c>
      <c r="S4" s="823"/>
      <c r="T4" s="824"/>
      <c r="U4" s="822" t="str">
        <f>Cost_Analysis!J3</f>
        <v>FY2020</v>
      </c>
      <c r="V4" s="823"/>
      <c r="W4" s="824"/>
      <c r="X4" s="822" t="str">
        <f>Cost_Analysis!K3</f>
        <v>FY2021</v>
      </c>
      <c r="Y4" s="823"/>
      <c r="Z4" s="824"/>
      <c r="AA4" s="822" t="str">
        <f>Cost_Analysis!L3</f>
        <v>FY2022</v>
      </c>
      <c r="AB4" s="823"/>
      <c r="AC4" s="824"/>
      <c r="AD4" s="822" t="str">
        <f>Cost_Analysis!M3</f>
        <v>FY2023</v>
      </c>
      <c r="AE4" s="823"/>
      <c r="AF4" s="824"/>
      <c r="AG4" s="463"/>
      <c r="AH4" s="464"/>
    </row>
    <row r="5" spans="1:34" s="451" customFormat="1" ht="60" customHeight="1" x14ac:dyDescent="0.2">
      <c r="A5" s="471"/>
      <c r="B5" s="448"/>
      <c r="C5" s="481" t="s">
        <v>509</v>
      </c>
      <c r="D5" s="484" t="s">
        <v>586</v>
      </c>
      <c r="E5" s="465" t="s">
        <v>510</v>
      </c>
      <c r="F5" s="481" t="s">
        <v>509</v>
      </c>
      <c r="G5" s="484" t="s">
        <v>586</v>
      </c>
      <c r="H5" s="465" t="s">
        <v>510</v>
      </c>
      <c r="I5" s="481" t="s">
        <v>509</v>
      </c>
      <c r="J5" s="484" t="s">
        <v>586</v>
      </c>
      <c r="K5" s="465" t="s">
        <v>510</v>
      </c>
      <c r="L5" s="481" t="s">
        <v>509</v>
      </c>
      <c r="M5" s="484" t="s">
        <v>586</v>
      </c>
      <c r="N5" s="465" t="s">
        <v>510</v>
      </c>
      <c r="O5" s="481" t="s">
        <v>509</v>
      </c>
      <c r="P5" s="484" t="s">
        <v>586</v>
      </c>
      <c r="Q5" s="465" t="s">
        <v>510</v>
      </c>
      <c r="R5" s="481" t="s">
        <v>509</v>
      </c>
      <c r="S5" s="484" t="s">
        <v>586</v>
      </c>
      <c r="T5" s="465" t="s">
        <v>510</v>
      </c>
      <c r="U5" s="481" t="s">
        <v>509</v>
      </c>
      <c r="V5" s="484" t="s">
        <v>586</v>
      </c>
      <c r="W5" s="465" t="s">
        <v>510</v>
      </c>
      <c r="X5" s="481" t="s">
        <v>509</v>
      </c>
      <c r="Y5" s="484" t="s">
        <v>586</v>
      </c>
      <c r="Z5" s="465" t="s">
        <v>510</v>
      </c>
      <c r="AA5" s="481" t="s">
        <v>509</v>
      </c>
      <c r="AB5" s="484" t="s">
        <v>586</v>
      </c>
      <c r="AC5" s="465" t="s">
        <v>510</v>
      </c>
      <c r="AD5" s="481" t="s">
        <v>509</v>
      </c>
      <c r="AE5" s="484" t="s">
        <v>586</v>
      </c>
      <c r="AF5" s="465" t="s">
        <v>510</v>
      </c>
      <c r="AG5" s="449"/>
      <c r="AH5" s="450"/>
    </row>
    <row r="6" spans="1:34" ht="15" customHeight="1" x14ac:dyDescent="0.2">
      <c r="A6" s="472"/>
      <c r="B6" s="452" t="s">
        <v>585</v>
      </c>
      <c r="C6" s="492">
        <f>SUM(C7:C15)</f>
        <v>731430</v>
      </c>
      <c r="D6" s="485">
        <f>SUM(D7:D15)</f>
        <v>731430</v>
      </c>
      <c r="E6" s="466"/>
      <c r="F6" s="492">
        <f>SUM(F7:F15)</f>
        <v>619038</v>
      </c>
      <c r="G6" s="485">
        <f>SUM(G7:G15)</f>
        <v>619038</v>
      </c>
      <c r="H6" s="466"/>
      <c r="I6" s="492">
        <f>SUM(I7:I15)</f>
        <v>457300</v>
      </c>
      <c r="J6" s="485">
        <f>SUM(J7:J15)</f>
        <v>457300</v>
      </c>
      <c r="K6" s="466"/>
      <c r="L6" s="492">
        <f>SUM(L7:L15)</f>
        <v>457300</v>
      </c>
      <c r="M6" s="485">
        <f>SUM(M7:M15)</f>
        <v>457300</v>
      </c>
      <c r="N6" s="466"/>
      <c r="O6" s="492">
        <f>SUM(O7:O15)</f>
        <v>10000</v>
      </c>
      <c r="P6" s="485">
        <f>SUM(P7:P15)</f>
        <v>10000</v>
      </c>
      <c r="Q6" s="466"/>
      <c r="R6" s="492">
        <f>SUM(R7:R15)</f>
        <v>10000</v>
      </c>
      <c r="S6" s="485">
        <f>SUM(S7:S15)</f>
        <v>10000</v>
      </c>
      <c r="T6" s="466"/>
      <c r="U6" s="492">
        <f>SUM(U7:U15)</f>
        <v>10000</v>
      </c>
      <c r="V6" s="485">
        <f>SUM(V7:V15)</f>
        <v>10000</v>
      </c>
      <c r="W6" s="466"/>
      <c r="X6" s="492">
        <f>SUM(X7:X15)</f>
        <v>10000</v>
      </c>
      <c r="Y6" s="485">
        <f>SUM(Y7:Y15)</f>
        <v>10000</v>
      </c>
      <c r="Z6" s="466"/>
      <c r="AA6" s="492">
        <f>SUM(AA7:AA15)</f>
        <v>10000</v>
      </c>
      <c r="AB6" s="485">
        <f>SUM(AB7:AB15)</f>
        <v>10000</v>
      </c>
      <c r="AC6" s="466"/>
      <c r="AD6" s="492">
        <f>SUM(AD7:AD15)</f>
        <v>10000</v>
      </c>
      <c r="AE6" s="485">
        <f>SUM(AE7:AE15)</f>
        <v>10000</v>
      </c>
      <c r="AF6" s="466"/>
      <c r="AG6" s="453"/>
      <c r="AH6" s="489">
        <f>SUM(AE6,AB6,Y6,V6,S6,P6,M6,J6,G6,D6)</f>
        <v>2325068</v>
      </c>
    </row>
    <row r="7" spans="1:34" ht="33" customHeight="1" x14ac:dyDescent="0.2">
      <c r="A7" s="473" t="s">
        <v>119</v>
      </c>
      <c r="B7" s="454" t="s">
        <v>651</v>
      </c>
      <c r="C7" s="493">
        <f>Cost_Analysis!D64 - Cost_Analysis!D54 + ((Cost_Analysis!D64 - Cost_Analysis!D54) * Cost_Analysis!D165)</f>
        <v>718830</v>
      </c>
      <c r="D7" s="490">
        <f>SUM(C7)</f>
        <v>718830</v>
      </c>
      <c r="E7" s="467"/>
      <c r="F7" s="493">
        <f>Cost_Analysis!E64 - Cost_Analysis!E54 + ((Cost_Analysis!E64 - Cost_Analysis!E54) * Cost_Analysis!E165)</f>
        <v>619038</v>
      </c>
      <c r="G7" s="490">
        <f>SUM(F7)</f>
        <v>619038</v>
      </c>
      <c r="H7" s="467"/>
      <c r="I7" s="493">
        <f>Cost_Analysis!F64 - Cost_Analysis!F54 + ((Cost_Analysis!F64 - Cost_Analysis!F54) * Cost_Analysis!F165)</f>
        <v>448800</v>
      </c>
      <c r="J7" s="490">
        <f>SUM(I7)</f>
        <v>448800</v>
      </c>
      <c r="K7" s="467"/>
      <c r="L7" s="493">
        <f>Cost_Analysis!G64 - Cost_Analysis!G54 + ((Cost_Analysis!G64 - Cost_Analysis!G54) * Cost_Analysis!G165)</f>
        <v>448800</v>
      </c>
      <c r="M7" s="490">
        <f>SUM(L7)</f>
        <v>448800</v>
      </c>
      <c r="N7" s="467"/>
      <c r="O7" s="493">
        <f>Cost_Analysis!H64 - Cost_Analysis!H54 + ((Cost_Analysis!H64 - Cost_Analysis!H54) * Cost_Analysis!H165)</f>
        <v>0</v>
      </c>
      <c r="P7" s="490">
        <f t="shared" ref="P7:P11" si="0">SUM(O7)</f>
        <v>0</v>
      </c>
      <c r="Q7" s="467"/>
      <c r="R7" s="493">
        <f>Cost_Analysis!I64 - Cost_Analysis!I54 + ((Cost_Analysis!I64 - Cost_Analysis!I54) * Cost_Analysis!I165)</f>
        <v>0</v>
      </c>
      <c r="S7" s="490">
        <f>SUM(R7)</f>
        <v>0</v>
      </c>
      <c r="T7" s="467"/>
      <c r="U7" s="493">
        <f>Cost_Analysis!J64 - Cost_Analysis!J54 + ((Cost_Analysis!J64 - Cost_Analysis!J54) * Cost_Analysis!J165)</f>
        <v>0</v>
      </c>
      <c r="V7" s="490">
        <f>SUM(U7)</f>
        <v>0</v>
      </c>
      <c r="W7" s="467"/>
      <c r="X7" s="493">
        <f>Cost_Analysis!K64 - Cost_Analysis!K54 + ((Cost_Analysis!K64 - Cost_Analysis!K54) * Cost_Analysis!K165)</f>
        <v>0</v>
      </c>
      <c r="Y7" s="490">
        <f>SUM(X7)</f>
        <v>0</v>
      </c>
      <c r="Z7" s="467"/>
      <c r="AA7" s="493">
        <f>Cost_Analysis!L64 - Cost_Analysis!L54 + ((Cost_Analysis!L64 - Cost_Analysis!L54) * Cost_Analysis!L165)</f>
        <v>0</v>
      </c>
      <c r="AB7" s="490">
        <f>SUM(AA7)</f>
        <v>0</v>
      </c>
      <c r="AC7" s="467"/>
      <c r="AD7" s="493">
        <f>Cost_Analysis!M64 - Cost_Analysis!M54 + ((Cost_Analysis!M64 - Cost_Analysis!M54) * Cost_Analysis!M165)</f>
        <v>0</v>
      </c>
      <c r="AE7" s="490">
        <f>AD7</f>
        <v>0</v>
      </c>
      <c r="AF7" s="467"/>
      <c r="AG7" s="453"/>
      <c r="AH7" s="489">
        <f>SUM(AE7,AB7,Y7,V7,S7,P7,M7,J7,G7,D7)</f>
        <v>2235468</v>
      </c>
    </row>
    <row r="8" spans="1:34" ht="15" customHeight="1" x14ac:dyDescent="0.2">
      <c r="A8" s="474" t="s">
        <v>122</v>
      </c>
      <c r="B8" s="454" t="str">
        <f>Instructions!B35</f>
        <v>Subtotal Project Hardware Procurement</v>
      </c>
      <c r="C8" s="494">
        <f>Cost_Analysis!D83 + (Cost_Analysis!D83 * Cost_Analysis!D165)</f>
        <v>12600</v>
      </c>
      <c r="D8" s="490">
        <f t="shared" ref="D8:D12" si="1">SUM(C8)</f>
        <v>12600</v>
      </c>
      <c r="E8" s="467"/>
      <c r="F8" s="494">
        <f>Cost_Analysis!E83 + (Cost_Analysis!E83 * Cost_Analysis!E165)</f>
        <v>0</v>
      </c>
      <c r="G8" s="490">
        <f t="shared" ref="G8:G12" si="2">SUM(F8)</f>
        <v>0</v>
      </c>
      <c r="H8" s="467"/>
      <c r="I8" s="494">
        <f>Cost_Analysis!F83 + (Cost_Analysis!F83 * Cost_Analysis!F165)</f>
        <v>0</v>
      </c>
      <c r="J8" s="490">
        <f t="shared" ref="J8:J12" si="3">SUM(I8)</f>
        <v>0</v>
      </c>
      <c r="K8" s="467"/>
      <c r="L8" s="494">
        <f>Cost_Analysis!G83 + (Cost_Analysis!G83 * Cost_Analysis!G165)</f>
        <v>0</v>
      </c>
      <c r="M8" s="490">
        <f t="shared" ref="M8:M12" si="4">SUM(L8)</f>
        <v>0</v>
      </c>
      <c r="N8" s="467"/>
      <c r="O8" s="494">
        <f>Cost_Analysis!H83 + (Cost_Analysis!H83 * Cost_Analysis!H165)</f>
        <v>0</v>
      </c>
      <c r="P8" s="490">
        <f t="shared" si="0"/>
        <v>0</v>
      </c>
      <c r="Q8" s="467"/>
      <c r="R8" s="494">
        <f>Cost_Analysis!I83 + (Cost_Analysis!I83 * Cost_Analysis!I165)</f>
        <v>0</v>
      </c>
      <c r="S8" s="490">
        <f t="shared" ref="S8:S12" si="5">SUM(R8)</f>
        <v>0</v>
      </c>
      <c r="T8" s="467"/>
      <c r="U8" s="494">
        <f>Cost_Analysis!J83 + (Cost_Analysis!J83 * Cost_Analysis!J165)</f>
        <v>0</v>
      </c>
      <c r="V8" s="490">
        <f t="shared" ref="V8:V12" si="6">SUM(U8)</f>
        <v>0</v>
      </c>
      <c r="W8" s="467"/>
      <c r="X8" s="494">
        <f>Cost_Analysis!K83 + (Cost_Analysis!K83 * Cost_Analysis!K165)</f>
        <v>0</v>
      </c>
      <c r="Y8" s="490">
        <f t="shared" ref="Y8:Y12" si="7">SUM(X8)</f>
        <v>0</v>
      </c>
      <c r="Z8" s="467"/>
      <c r="AA8" s="494">
        <f>Cost_Analysis!L83 + (Cost_Analysis!L83 * Cost_Analysis!L165)</f>
        <v>0</v>
      </c>
      <c r="AB8" s="490">
        <f t="shared" ref="AB8:AB12" si="8">SUM(AA8)</f>
        <v>0</v>
      </c>
      <c r="AC8" s="467"/>
      <c r="AD8" s="494">
        <f>Cost_Analysis!M83 + (Cost_Analysis!M83 * Cost_Analysis!M165)</f>
        <v>0</v>
      </c>
      <c r="AE8" s="490">
        <f t="shared" ref="AE8:AE12" si="9">AD8</f>
        <v>0</v>
      </c>
      <c r="AF8" s="467"/>
      <c r="AG8" s="453"/>
      <c r="AH8" s="489">
        <f>SUM(AE8,AB8,Y8,V8,S8,P8,M8,J8,G8,D8)</f>
        <v>12600</v>
      </c>
    </row>
    <row r="9" spans="1:34" ht="15" customHeight="1" x14ac:dyDescent="0.2">
      <c r="A9" s="474" t="s">
        <v>124</v>
      </c>
      <c r="B9" s="454" t="str">
        <f>Instructions!B152</f>
        <v>Subtotal Project Hardware Maintenance</v>
      </c>
      <c r="C9" s="494">
        <f>Cost_Analysis!D94 + (Cost_Analysis!D94 * Cost_Analysis!D165)</f>
        <v>0</v>
      </c>
      <c r="D9" s="490">
        <f t="shared" si="1"/>
        <v>0</v>
      </c>
      <c r="E9" s="467"/>
      <c r="F9" s="494">
        <f>Cost_Analysis!E94 + (Cost_Analysis!E94 * Cost_Analysis!E165)</f>
        <v>0</v>
      </c>
      <c r="G9" s="490">
        <f t="shared" si="2"/>
        <v>0</v>
      </c>
      <c r="H9" s="467"/>
      <c r="I9" s="494">
        <f>Cost_Analysis!F94 + (Cost_Analysis!F94 * Cost_Analysis!F165)</f>
        <v>2500</v>
      </c>
      <c r="J9" s="490">
        <f t="shared" si="3"/>
        <v>2500</v>
      </c>
      <c r="K9" s="467"/>
      <c r="L9" s="494">
        <f>Cost_Analysis!G94 + (Cost_Analysis!G94 * Cost_Analysis!G165)</f>
        <v>2500</v>
      </c>
      <c r="M9" s="490">
        <f t="shared" si="4"/>
        <v>2500</v>
      </c>
      <c r="N9" s="467"/>
      <c r="O9" s="494">
        <f>Cost_Analysis!H94 + (Cost_Analysis!H94 * Cost_Analysis!H165)</f>
        <v>4000</v>
      </c>
      <c r="P9" s="490">
        <f t="shared" si="0"/>
        <v>4000</v>
      </c>
      <c r="Q9" s="467"/>
      <c r="R9" s="494">
        <f>Cost_Analysis!I94 + (Cost_Analysis!I94 * Cost_Analysis!I165)</f>
        <v>4000</v>
      </c>
      <c r="S9" s="490">
        <f t="shared" si="5"/>
        <v>4000</v>
      </c>
      <c r="T9" s="467"/>
      <c r="U9" s="494">
        <f>Cost_Analysis!J94 + (Cost_Analysis!J94 * Cost_Analysis!J165)</f>
        <v>4000</v>
      </c>
      <c r="V9" s="490">
        <f t="shared" si="6"/>
        <v>4000</v>
      </c>
      <c r="W9" s="467"/>
      <c r="X9" s="494">
        <f>Cost_Analysis!K94 + (Cost_Analysis!K94 * Cost_Analysis!K165)</f>
        <v>4000</v>
      </c>
      <c r="Y9" s="490">
        <f t="shared" si="7"/>
        <v>4000</v>
      </c>
      <c r="Z9" s="467"/>
      <c r="AA9" s="494">
        <f>Cost_Analysis!L94 + (Cost_Analysis!L94 * Cost_Analysis!L165)</f>
        <v>4000</v>
      </c>
      <c r="AB9" s="490">
        <f t="shared" si="8"/>
        <v>4000</v>
      </c>
      <c r="AC9" s="467"/>
      <c r="AD9" s="494">
        <f>Cost_Analysis!M94 + (Cost_Analysis!M94 * Cost_Analysis!M165)</f>
        <v>4000</v>
      </c>
      <c r="AE9" s="490">
        <f t="shared" si="9"/>
        <v>4000</v>
      </c>
      <c r="AF9" s="467"/>
      <c r="AG9" s="453"/>
      <c r="AH9" s="489">
        <f t="shared" ref="AH9:AH23" si="10">SUM(AE9,AB9,Y9,V9,S9,P9,M9,J9,G9,D9)</f>
        <v>29000</v>
      </c>
    </row>
    <row r="10" spans="1:34" ht="15" customHeight="1" x14ac:dyDescent="0.2">
      <c r="A10" s="474" t="s">
        <v>126</v>
      </c>
      <c r="B10" s="454" t="str">
        <f>Instructions!B41</f>
        <v>Subtotal Project Software Procurement</v>
      </c>
      <c r="C10" s="494">
        <f>Cost_Analysis!D116 + (Cost_Analysis!D116 * Cost_Analysis!D165)</f>
        <v>0</v>
      </c>
      <c r="D10" s="490">
        <f t="shared" si="1"/>
        <v>0</v>
      </c>
      <c r="E10" s="467"/>
      <c r="F10" s="494">
        <f>Cost_Analysis!E116 + (Cost_Analysis!E116 * Cost_Analysis!E165)</f>
        <v>0</v>
      </c>
      <c r="G10" s="490">
        <f t="shared" si="2"/>
        <v>0</v>
      </c>
      <c r="H10" s="467"/>
      <c r="I10" s="494">
        <f>Cost_Analysis!F116 + (Cost_Analysis!F116 * Cost_Analysis!F165)</f>
        <v>6000</v>
      </c>
      <c r="J10" s="490">
        <f t="shared" si="3"/>
        <v>6000</v>
      </c>
      <c r="K10" s="467"/>
      <c r="L10" s="494">
        <f>Cost_Analysis!G116 + (Cost_Analysis!G116 * Cost_Analysis!G165)</f>
        <v>6000</v>
      </c>
      <c r="M10" s="490">
        <f t="shared" si="4"/>
        <v>6000</v>
      </c>
      <c r="N10" s="467"/>
      <c r="O10" s="494">
        <f>Cost_Analysis!H116 + (Cost_Analysis!H116 * Cost_Analysis!H165)</f>
        <v>6000</v>
      </c>
      <c r="P10" s="490">
        <f t="shared" si="0"/>
        <v>6000</v>
      </c>
      <c r="Q10" s="467"/>
      <c r="R10" s="494">
        <f>Cost_Analysis!I116 + (Cost_Analysis!I116 * Cost_Analysis!I165)</f>
        <v>6000</v>
      </c>
      <c r="S10" s="490">
        <f t="shared" si="5"/>
        <v>6000</v>
      </c>
      <c r="T10" s="467"/>
      <c r="U10" s="494">
        <f>Cost_Analysis!J116 + (Cost_Analysis!J116 * Cost_Analysis!J165)</f>
        <v>6000</v>
      </c>
      <c r="V10" s="490">
        <f t="shared" si="6"/>
        <v>6000</v>
      </c>
      <c r="W10" s="467"/>
      <c r="X10" s="494">
        <f>Cost_Analysis!K116 + (Cost_Analysis!K116 * Cost_Analysis!K165)</f>
        <v>6000</v>
      </c>
      <c r="Y10" s="490">
        <f t="shared" si="7"/>
        <v>6000</v>
      </c>
      <c r="Z10" s="467"/>
      <c r="AA10" s="494">
        <f>Cost_Analysis!L116 + (Cost_Analysis!L116 * Cost_Analysis!L165)</f>
        <v>6000</v>
      </c>
      <c r="AB10" s="490">
        <f t="shared" si="8"/>
        <v>6000</v>
      </c>
      <c r="AC10" s="467"/>
      <c r="AD10" s="494">
        <f>Cost_Analysis!M116 + (Cost_Analysis!M116 * Cost_Analysis!M165)</f>
        <v>6000</v>
      </c>
      <c r="AE10" s="490">
        <f t="shared" si="9"/>
        <v>6000</v>
      </c>
      <c r="AF10" s="467"/>
      <c r="AG10" s="453"/>
      <c r="AH10" s="489">
        <f t="shared" si="10"/>
        <v>48000</v>
      </c>
    </row>
    <row r="11" spans="1:34" ht="15" customHeight="1" x14ac:dyDescent="0.2">
      <c r="A11" s="474" t="s">
        <v>128</v>
      </c>
      <c r="B11" s="454" t="str">
        <f>Instructions!B43</f>
        <v>Subtotal Project Software Maintenance</v>
      </c>
      <c r="C11" s="494">
        <f>Cost_Analysis!D127 + (Cost_Analysis!D127 * Cost_Analysis!D165)</f>
        <v>0</v>
      </c>
      <c r="D11" s="490">
        <f t="shared" si="1"/>
        <v>0</v>
      </c>
      <c r="E11" s="467"/>
      <c r="F11" s="494">
        <f>Cost_Analysis!E127 + (Cost_Analysis!E127 * Cost_Analysis!E165)</f>
        <v>0</v>
      </c>
      <c r="G11" s="490">
        <f t="shared" si="2"/>
        <v>0</v>
      </c>
      <c r="H11" s="467"/>
      <c r="I11" s="494">
        <f>Cost_Analysis!F127 + (Cost_Analysis!F127 * Cost_Analysis!F165)</f>
        <v>0</v>
      </c>
      <c r="J11" s="490">
        <f t="shared" si="3"/>
        <v>0</v>
      </c>
      <c r="K11" s="467"/>
      <c r="L11" s="494">
        <f>Cost_Analysis!G127 + (Cost_Analysis!G127 * Cost_Analysis!G165)</f>
        <v>0</v>
      </c>
      <c r="M11" s="490">
        <f t="shared" si="4"/>
        <v>0</v>
      </c>
      <c r="N11" s="467"/>
      <c r="O11" s="494">
        <f>Cost_Analysis!H127 + (Cost_Analysis!H127 * Cost_Analysis!H165)</f>
        <v>0</v>
      </c>
      <c r="P11" s="490">
        <f t="shared" si="0"/>
        <v>0</v>
      </c>
      <c r="Q11" s="467"/>
      <c r="R11" s="494">
        <f>Cost_Analysis!I127 + (Cost_Analysis!I127 * Cost_Analysis!I165)</f>
        <v>0</v>
      </c>
      <c r="S11" s="490">
        <f t="shared" si="5"/>
        <v>0</v>
      </c>
      <c r="T11" s="467"/>
      <c r="U11" s="494">
        <f>Cost_Analysis!J127 + (Cost_Analysis!J127 * Cost_Analysis!J165)</f>
        <v>0</v>
      </c>
      <c r="V11" s="490">
        <f t="shared" si="6"/>
        <v>0</v>
      </c>
      <c r="W11" s="467"/>
      <c r="X11" s="494">
        <f>Cost_Analysis!K127 + (Cost_Analysis!K127 * Cost_Analysis!K165)</f>
        <v>0</v>
      </c>
      <c r="Y11" s="490">
        <f t="shared" si="7"/>
        <v>0</v>
      </c>
      <c r="Z11" s="467"/>
      <c r="AA11" s="494">
        <f>Cost_Analysis!L127 + (Cost_Analysis!L127 * Cost_Analysis!L165)</f>
        <v>0</v>
      </c>
      <c r="AB11" s="490">
        <f t="shared" si="8"/>
        <v>0</v>
      </c>
      <c r="AC11" s="467"/>
      <c r="AD11" s="494">
        <f>Cost_Analysis!M127 + (Cost_Analysis!M127 * Cost_Analysis!M165)</f>
        <v>0</v>
      </c>
      <c r="AE11" s="490">
        <f t="shared" si="9"/>
        <v>0</v>
      </c>
      <c r="AF11" s="467"/>
      <c r="AG11" s="453"/>
      <c r="AH11" s="489">
        <f t="shared" si="10"/>
        <v>0</v>
      </c>
    </row>
    <row r="12" spans="1:34" ht="15" customHeight="1" x14ac:dyDescent="0.2">
      <c r="A12" s="474" t="s">
        <v>138</v>
      </c>
      <c r="B12" s="454" t="str">
        <f>Instructions!B55</f>
        <v>Subtotal Project Other Costs</v>
      </c>
      <c r="C12" s="494">
        <f>Cost_Analysis!D149 - Cost_Analysis!D145 + ((Cost_Analysis!D149 - Cost_Analysis!D145) * Cost_Analysis!D165)</f>
        <v>0</v>
      </c>
      <c r="D12" s="490">
        <f t="shared" si="1"/>
        <v>0</v>
      </c>
      <c r="E12" s="467"/>
      <c r="F12" s="494">
        <f>Cost_Analysis!E149 - Cost_Analysis!E145 + ((Cost_Analysis!E149 - Cost_Analysis!E145) * Cost_Analysis!E165)</f>
        <v>0</v>
      </c>
      <c r="G12" s="490">
        <f t="shared" si="2"/>
        <v>0</v>
      </c>
      <c r="H12" s="467"/>
      <c r="I12" s="494">
        <f>Cost_Analysis!F149 - Cost_Analysis!F145 + ((Cost_Analysis!F149 - Cost_Analysis!F145) * Cost_Analysis!F165)</f>
        <v>0</v>
      </c>
      <c r="J12" s="490">
        <f t="shared" si="3"/>
        <v>0</v>
      </c>
      <c r="K12" s="467"/>
      <c r="L12" s="494">
        <f>Cost_Analysis!G149 - Cost_Analysis!G145 + ((Cost_Analysis!G149 - Cost_Analysis!G145) * Cost_Analysis!G165)</f>
        <v>0</v>
      </c>
      <c r="M12" s="490">
        <f t="shared" si="4"/>
        <v>0</v>
      </c>
      <c r="N12" s="467"/>
      <c r="O12" s="494">
        <f>Cost_Analysis!H149 - Cost_Analysis!H145 + ((Cost_Analysis!H149 - Cost_Analysis!H145) * Cost_Analysis!H165)</f>
        <v>0</v>
      </c>
      <c r="P12" s="490">
        <f t="shared" ref="P12" si="11">SUM(O12)</f>
        <v>0</v>
      </c>
      <c r="Q12" s="467"/>
      <c r="R12" s="494">
        <f>Cost_Analysis!I149 - Cost_Analysis!I145 + ((Cost_Analysis!I149 - Cost_Analysis!I145) * Cost_Analysis!I165)</f>
        <v>0</v>
      </c>
      <c r="S12" s="490">
        <f t="shared" si="5"/>
        <v>0</v>
      </c>
      <c r="T12" s="467"/>
      <c r="U12" s="494">
        <f>Cost_Analysis!J149 - Cost_Analysis!J145 + ((Cost_Analysis!J149 - Cost_Analysis!J145) * Cost_Analysis!J165)</f>
        <v>0</v>
      </c>
      <c r="V12" s="490">
        <f t="shared" si="6"/>
        <v>0</v>
      </c>
      <c r="W12" s="467"/>
      <c r="X12" s="494">
        <f>Cost_Analysis!K149 - Cost_Analysis!K145 + ((Cost_Analysis!K149 - Cost_Analysis!K145) * Cost_Analysis!K165)</f>
        <v>0</v>
      </c>
      <c r="Y12" s="490">
        <f t="shared" si="7"/>
        <v>0</v>
      </c>
      <c r="Z12" s="467"/>
      <c r="AA12" s="494">
        <f>Cost_Analysis!L149 - Cost_Analysis!L145 + ((Cost_Analysis!L149 - Cost_Analysis!L145) * Cost_Analysis!L165)</f>
        <v>0</v>
      </c>
      <c r="AB12" s="490">
        <f t="shared" si="8"/>
        <v>0</v>
      </c>
      <c r="AC12" s="467"/>
      <c r="AD12" s="494">
        <f>Cost_Analysis!M149 - Cost_Analysis!M145 + ((Cost_Analysis!M149 - Cost_Analysis!M145) * Cost_Analysis!M165)</f>
        <v>0</v>
      </c>
      <c r="AE12" s="490">
        <f t="shared" si="9"/>
        <v>0</v>
      </c>
      <c r="AF12" s="467"/>
      <c r="AG12" s="453"/>
      <c r="AH12" s="489">
        <f t="shared" si="10"/>
        <v>0</v>
      </c>
    </row>
    <row r="13" spans="1:34" ht="15" customHeight="1" x14ac:dyDescent="0.2">
      <c r="A13" s="474"/>
      <c r="B13" s="496" t="s">
        <v>460</v>
      </c>
      <c r="C13" s="634"/>
      <c r="D13" s="653">
        <v>0</v>
      </c>
      <c r="E13" s="467"/>
      <c r="F13" s="634"/>
      <c r="G13" s="653">
        <v>0</v>
      </c>
      <c r="H13" s="467"/>
      <c r="I13" s="634"/>
      <c r="J13" s="653">
        <v>0</v>
      </c>
      <c r="K13" s="467"/>
      <c r="L13" s="634"/>
      <c r="M13" s="653">
        <v>0</v>
      </c>
      <c r="N13" s="467"/>
      <c r="O13" s="634"/>
      <c r="P13" s="653">
        <v>0</v>
      </c>
      <c r="Q13" s="467"/>
      <c r="R13" s="634"/>
      <c r="S13" s="653">
        <v>0</v>
      </c>
      <c r="T13" s="467"/>
      <c r="U13" s="634"/>
      <c r="V13" s="653">
        <v>0</v>
      </c>
      <c r="W13" s="467"/>
      <c r="X13" s="634"/>
      <c r="Y13" s="653">
        <v>0</v>
      </c>
      <c r="Z13" s="467"/>
      <c r="AA13" s="634"/>
      <c r="AB13" s="653">
        <v>0</v>
      </c>
      <c r="AC13" s="467"/>
      <c r="AD13" s="634"/>
      <c r="AE13" s="653">
        <v>0</v>
      </c>
      <c r="AF13" s="467"/>
      <c r="AG13" s="453"/>
      <c r="AH13" s="489">
        <f t="shared" si="10"/>
        <v>0</v>
      </c>
    </row>
    <row r="14" spans="1:34" ht="15" customHeight="1" x14ac:dyDescent="0.2">
      <c r="A14" s="474"/>
      <c r="B14" s="496" t="s">
        <v>460</v>
      </c>
      <c r="C14" s="634"/>
      <c r="D14" s="653">
        <v>0</v>
      </c>
      <c r="E14" s="467"/>
      <c r="F14" s="634"/>
      <c r="G14" s="653">
        <v>0</v>
      </c>
      <c r="H14" s="467"/>
      <c r="I14" s="634"/>
      <c r="J14" s="653">
        <v>0</v>
      </c>
      <c r="K14" s="467"/>
      <c r="L14" s="634"/>
      <c r="M14" s="653">
        <v>0</v>
      </c>
      <c r="N14" s="467"/>
      <c r="O14" s="634"/>
      <c r="P14" s="653">
        <v>0</v>
      </c>
      <c r="Q14" s="467"/>
      <c r="R14" s="634"/>
      <c r="S14" s="653">
        <v>0</v>
      </c>
      <c r="T14" s="467"/>
      <c r="U14" s="634"/>
      <c r="V14" s="653">
        <v>0</v>
      </c>
      <c r="W14" s="467"/>
      <c r="X14" s="634"/>
      <c r="Y14" s="653">
        <v>0</v>
      </c>
      <c r="Z14" s="467"/>
      <c r="AA14" s="634"/>
      <c r="AB14" s="653">
        <v>0</v>
      </c>
      <c r="AC14" s="467"/>
      <c r="AD14" s="634"/>
      <c r="AE14" s="653">
        <v>0</v>
      </c>
      <c r="AF14" s="467"/>
      <c r="AG14" s="453"/>
      <c r="AH14" s="489">
        <f t="shared" si="10"/>
        <v>0</v>
      </c>
    </row>
    <row r="15" spans="1:34" ht="15" customHeight="1" x14ac:dyDescent="0.2">
      <c r="A15" s="474"/>
      <c r="B15" s="496" t="s">
        <v>460</v>
      </c>
      <c r="C15" s="634"/>
      <c r="D15" s="653">
        <v>0</v>
      </c>
      <c r="E15" s="467"/>
      <c r="F15" s="634"/>
      <c r="G15" s="653">
        <v>0</v>
      </c>
      <c r="H15" s="467"/>
      <c r="I15" s="634"/>
      <c r="J15" s="653">
        <v>0</v>
      </c>
      <c r="K15" s="467"/>
      <c r="L15" s="634"/>
      <c r="M15" s="653">
        <v>0</v>
      </c>
      <c r="N15" s="467"/>
      <c r="O15" s="634"/>
      <c r="P15" s="653">
        <v>0</v>
      </c>
      <c r="Q15" s="467"/>
      <c r="R15" s="634"/>
      <c r="S15" s="653">
        <v>0</v>
      </c>
      <c r="T15" s="467"/>
      <c r="U15" s="634"/>
      <c r="V15" s="653">
        <v>0</v>
      </c>
      <c r="W15" s="467"/>
      <c r="X15" s="634"/>
      <c r="Y15" s="653">
        <v>0</v>
      </c>
      <c r="Z15" s="467"/>
      <c r="AA15" s="634"/>
      <c r="AB15" s="653">
        <v>0</v>
      </c>
      <c r="AC15" s="467"/>
      <c r="AD15" s="634"/>
      <c r="AE15" s="653">
        <v>0</v>
      </c>
      <c r="AF15" s="467"/>
      <c r="AG15" s="453"/>
      <c r="AH15" s="489">
        <f t="shared" si="10"/>
        <v>0</v>
      </c>
    </row>
    <row r="16" spans="1:34" ht="15" x14ac:dyDescent="0.25">
      <c r="A16" s="475"/>
      <c r="B16" s="455" t="s">
        <v>511</v>
      </c>
      <c r="C16" s="482">
        <f>SUM(C17:C22)</f>
        <v>402763.29911999998</v>
      </c>
      <c r="D16" s="486">
        <f>SUM(D17:D22)</f>
        <v>402763.29911999998</v>
      </c>
      <c r="E16" s="468"/>
      <c r="F16" s="482">
        <f>SUM(F17:F22)</f>
        <v>184266.08928000001</v>
      </c>
      <c r="G16" s="486">
        <f>SUM(G17:G22)</f>
        <v>184266.08928000001</v>
      </c>
      <c r="H16" s="468"/>
      <c r="I16" s="482">
        <f>SUM(I17:I22)</f>
        <v>92634.36</v>
      </c>
      <c r="J16" s="486">
        <f>SUM(J17:J22)</f>
        <v>92634.36</v>
      </c>
      <c r="K16" s="468"/>
      <c r="L16" s="482">
        <f>SUM(L17:L22)</f>
        <v>92634.36</v>
      </c>
      <c r="M16" s="486">
        <f>SUM(M17:M22)</f>
        <v>92634.36</v>
      </c>
      <c r="N16" s="468"/>
      <c r="O16" s="482">
        <f>SUM(O17:O22)</f>
        <v>92634.36</v>
      </c>
      <c r="P16" s="486">
        <f>SUM(P17:P22)</f>
        <v>92634.36</v>
      </c>
      <c r="Q16" s="468"/>
      <c r="R16" s="482">
        <f>SUM(R17:R22)</f>
        <v>92634.36</v>
      </c>
      <c r="S16" s="486">
        <f>SUM(S17:S22)</f>
        <v>92634.36</v>
      </c>
      <c r="T16" s="468"/>
      <c r="U16" s="482">
        <f>SUM(U17:U22)</f>
        <v>92634.36</v>
      </c>
      <c r="V16" s="486">
        <f>SUM(V17:V22)</f>
        <v>92634.36</v>
      </c>
      <c r="W16" s="468"/>
      <c r="X16" s="482">
        <f>SUM(X17:X22)</f>
        <v>92634.36</v>
      </c>
      <c r="Y16" s="486">
        <f>SUM(Y17:Y22)</f>
        <v>92634.36</v>
      </c>
      <c r="Z16" s="468"/>
      <c r="AA16" s="482">
        <f>SUM(AA17:AA22)</f>
        <v>92634.36</v>
      </c>
      <c r="AB16" s="486">
        <f>SUM(AB17:AB22)</f>
        <v>92634.36</v>
      </c>
      <c r="AC16" s="468"/>
      <c r="AD16" s="482">
        <f>SUM(AD17:AD22)</f>
        <v>92634.36</v>
      </c>
      <c r="AE16" s="486">
        <f>SUM(AE17:AE22)</f>
        <v>92634.36</v>
      </c>
      <c r="AF16" s="468"/>
      <c r="AG16" s="456"/>
      <c r="AH16" s="489">
        <f t="shared" si="10"/>
        <v>1328104.2683999999</v>
      </c>
    </row>
    <row r="17" spans="1:34" ht="15" customHeight="1" x14ac:dyDescent="0.2">
      <c r="A17" s="473" t="s">
        <v>117</v>
      </c>
      <c r="B17" s="454" t="str">
        <f>Instructions!B24</f>
        <v>Total Project Agency Personnel Costs</v>
      </c>
      <c r="C17" s="495">
        <f>Cost_Analysis!D31+(Cost_Analysis!D31*Cost_Analysis!D165)</f>
        <v>402763.29911999998</v>
      </c>
      <c r="D17" s="487">
        <f>SUM(C17)</f>
        <v>402763.29911999998</v>
      </c>
      <c r="E17" s="467"/>
      <c r="F17" s="495">
        <f>Cost_Analysis!E31+(Cost_Analysis!E31*Cost_Analysis!E165)</f>
        <v>184266.08928000001</v>
      </c>
      <c r="G17" s="487">
        <f>SUM(F17)</f>
        <v>184266.08928000001</v>
      </c>
      <c r="H17" s="467"/>
      <c r="I17" s="495">
        <f>Cost_Analysis!F31+(Cost_Analysis!F31*Cost_Analysis!F165)</f>
        <v>92634.36</v>
      </c>
      <c r="J17" s="487">
        <f>SUM(I17)</f>
        <v>92634.36</v>
      </c>
      <c r="K17" s="467"/>
      <c r="L17" s="495">
        <f>Cost_Analysis!G31+(Cost_Analysis!G31*Cost_Analysis!G165)</f>
        <v>92634.36</v>
      </c>
      <c r="M17" s="487">
        <f>SUM(L17)</f>
        <v>92634.36</v>
      </c>
      <c r="N17" s="467"/>
      <c r="O17" s="495">
        <f>Cost_Analysis!H31+(Cost_Analysis!H31*Cost_Analysis!H165)</f>
        <v>92634.36</v>
      </c>
      <c r="P17" s="487">
        <f>SUM(O17)</f>
        <v>92634.36</v>
      </c>
      <c r="Q17" s="467"/>
      <c r="R17" s="495">
        <f>Cost_Analysis!I31+(Cost_Analysis!I31*Cost_Analysis!I165)</f>
        <v>92634.36</v>
      </c>
      <c r="S17" s="487">
        <f>SUM(R17)</f>
        <v>92634.36</v>
      </c>
      <c r="T17" s="467"/>
      <c r="U17" s="495">
        <f>Cost_Analysis!J31+(Cost_Analysis!J31*Cost_Analysis!J165)</f>
        <v>92634.36</v>
      </c>
      <c r="V17" s="487">
        <f>SUM(U17)</f>
        <v>92634.36</v>
      </c>
      <c r="W17" s="467"/>
      <c r="X17" s="495">
        <f>Cost_Analysis!K31+(Cost_Analysis!K31*Cost_Analysis!K165)</f>
        <v>92634.36</v>
      </c>
      <c r="Y17" s="487">
        <f>SUM(X17)</f>
        <v>92634.36</v>
      </c>
      <c r="Z17" s="467"/>
      <c r="AA17" s="495">
        <f>Cost_Analysis!L31+(Cost_Analysis!L31*Cost_Analysis!L165)</f>
        <v>92634.36</v>
      </c>
      <c r="AB17" s="487">
        <f>SUM(AA17)</f>
        <v>92634.36</v>
      </c>
      <c r="AC17" s="467"/>
      <c r="AD17" s="495">
        <f>Cost_Analysis!M31+(Cost_Analysis!M31*Cost_Analysis!M165)</f>
        <v>92634.36</v>
      </c>
      <c r="AE17" s="487">
        <f>SUM(AD17)</f>
        <v>92634.36</v>
      </c>
      <c r="AF17" s="467"/>
      <c r="AG17" s="453"/>
      <c r="AH17" s="489">
        <f t="shared" si="10"/>
        <v>1328104.2683999999</v>
      </c>
    </row>
    <row r="18" spans="1:34" x14ac:dyDescent="0.2">
      <c r="A18" s="475" t="s">
        <v>440</v>
      </c>
      <c r="B18" s="454" t="str">
        <f>Instructions!B161</f>
        <v>Project IV&amp;V Costs</v>
      </c>
      <c r="C18" s="495">
        <f>Cost_Analysis!D54+(Cost_Analysis!D54*Cost_Analysis!D165)</f>
        <v>0</v>
      </c>
      <c r="D18" s="487">
        <f>SUM(C18)</f>
        <v>0</v>
      </c>
      <c r="E18" s="469"/>
      <c r="F18" s="495">
        <f>Cost_Analysis!E54+(Cost_Analysis!E54*Cost_Analysis!E165)</f>
        <v>0</v>
      </c>
      <c r="G18" s="487">
        <f>SUM(F18)</f>
        <v>0</v>
      </c>
      <c r="H18" s="469"/>
      <c r="I18" s="495">
        <f>Cost_Analysis!F54+(Cost_Analysis!F54*Cost_Analysis!F165)</f>
        <v>0</v>
      </c>
      <c r="J18" s="487">
        <f>SUM(I18)</f>
        <v>0</v>
      </c>
      <c r="K18" s="469"/>
      <c r="L18" s="495">
        <f>Cost_Analysis!G54+(Cost_Analysis!G54*Cost_Analysis!G165)</f>
        <v>0</v>
      </c>
      <c r="M18" s="487">
        <f>SUM(L18)</f>
        <v>0</v>
      </c>
      <c r="N18" s="469"/>
      <c r="O18" s="495">
        <f>Cost_Analysis!H54+(Cost_Analysis!H54*Cost_Analysis!H165)</f>
        <v>0</v>
      </c>
      <c r="P18" s="487">
        <f>SUM(O18)</f>
        <v>0</v>
      </c>
      <c r="Q18" s="469"/>
      <c r="R18" s="495">
        <f>Cost_Analysis!I54+(Cost_Analysis!I54*Cost_Analysis!I165)</f>
        <v>0</v>
      </c>
      <c r="S18" s="487">
        <f>SUM(R18)</f>
        <v>0</v>
      </c>
      <c r="T18" s="469"/>
      <c r="U18" s="495">
        <f>Cost_Analysis!J54+(Cost_Analysis!J54*Cost_Analysis!J165)</f>
        <v>0</v>
      </c>
      <c r="V18" s="487">
        <f>SUM(U18)</f>
        <v>0</v>
      </c>
      <c r="W18" s="469"/>
      <c r="X18" s="495">
        <f>Cost_Analysis!K54+(Cost_Analysis!K54*Cost_Analysis!K165)</f>
        <v>0</v>
      </c>
      <c r="Y18" s="487">
        <f>SUM(X18)</f>
        <v>0</v>
      </c>
      <c r="Z18" s="469"/>
      <c r="AA18" s="495">
        <f>Cost_Analysis!L54+(Cost_Analysis!L54*Cost_Analysis!L165)</f>
        <v>0</v>
      </c>
      <c r="AB18" s="487">
        <f>SUM(AA18)</f>
        <v>0</v>
      </c>
      <c r="AC18" s="469"/>
      <c r="AD18" s="495">
        <f>Cost_Analysis!M54+(Cost_Analysis!M54*Cost_Analysis!M165)</f>
        <v>0</v>
      </c>
      <c r="AE18" s="487">
        <f>SUM(AD18)</f>
        <v>0</v>
      </c>
      <c r="AF18" s="469"/>
      <c r="AG18" s="456"/>
      <c r="AH18" s="489">
        <f t="shared" si="10"/>
        <v>0</v>
      </c>
    </row>
    <row r="19" spans="1:34" x14ac:dyDescent="0.2">
      <c r="A19" s="475" t="s">
        <v>134</v>
      </c>
      <c r="B19" s="457" t="str">
        <f>Instructions!B162</f>
        <v>Project Travel</v>
      </c>
      <c r="C19" s="495">
        <f>Cost_Analysis!D145+(Cost_Analysis!D145*Cost_Analysis!D165)</f>
        <v>0</v>
      </c>
      <c r="D19" s="487">
        <f>SUM(C19)</f>
        <v>0</v>
      </c>
      <c r="E19" s="469"/>
      <c r="F19" s="495">
        <f>Cost_Analysis!E145+(Cost_Analysis!E145*Cost_Analysis!E165)</f>
        <v>0</v>
      </c>
      <c r="G19" s="487">
        <f>SUM(F19)</f>
        <v>0</v>
      </c>
      <c r="H19" s="469"/>
      <c r="I19" s="495">
        <f>Cost_Analysis!F145+(Cost_Analysis!F145*Cost_Analysis!F165)</f>
        <v>0</v>
      </c>
      <c r="J19" s="487">
        <f>SUM(I19)</f>
        <v>0</v>
      </c>
      <c r="K19" s="469"/>
      <c r="L19" s="495">
        <f>Cost_Analysis!G145+(Cost_Analysis!G145*Cost_Analysis!G165)</f>
        <v>0</v>
      </c>
      <c r="M19" s="487">
        <f>SUM(L19)</f>
        <v>0</v>
      </c>
      <c r="N19" s="469"/>
      <c r="O19" s="495">
        <f>Cost_Analysis!H145+(Cost_Analysis!H145*Cost_Analysis!H165)</f>
        <v>0</v>
      </c>
      <c r="P19" s="487">
        <f>SUM(O19)</f>
        <v>0</v>
      </c>
      <c r="Q19" s="469"/>
      <c r="R19" s="495">
        <f>Cost_Analysis!I145+(Cost_Analysis!I145*Cost_Analysis!I165)</f>
        <v>0</v>
      </c>
      <c r="S19" s="487">
        <f>SUM(R19)</f>
        <v>0</v>
      </c>
      <c r="T19" s="469"/>
      <c r="U19" s="495">
        <f>Cost_Analysis!J145+(Cost_Analysis!J145*Cost_Analysis!J165)</f>
        <v>0</v>
      </c>
      <c r="V19" s="487">
        <f>SUM(U19)</f>
        <v>0</v>
      </c>
      <c r="W19" s="469"/>
      <c r="X19" s="495">
        <f>Cost_Analysis!K145+(Cost_Analysis!K145*Cost_Analysis!K165)</f>
        <v>0</v>
      </c>
      <c r="Y19" s="487">
        <f>SUM(X19)</f>
        <v>0</v>
      </c>
      <c r="Z19" s="469"/>
      <c r="AA19" s="495">
        <f>Cost_Analysis!L145+(Cost_Analysis!L145*Cost_Analysis!L165)</f>
        <v>0</v>
      </c>
      <c r="AB19" s="487">
        <f>SUM(AA19)</f>
        <v>0</v>
      </c>
      <c r="AC19" s="469"/>
      <c r="AD19" s="495">
        <f>Cost_Analysis!M145+(Cost_Analysis!M145*Cost_Analysis!M165)</f>
        <v>0</v>
      </c>
      <c r="AE19" s="487">
        <f>SUM(AD19)</f>
        <v>0</v>
      </c>
      <c r="AF19" s="469"/>
      <c r="AG19" s="456"/>
      <c r="AH19" s="489">
        <f t="shared" si="10"/>
        <v>0</v>
      </c>
    </row>
    <row r="20" spans="1:34" x14ac:dyDescent="0.2">
      <c r="A20" s="475"/>
      <c r="B20" s="496" t="s">
        <v>460</v>
      </c>
      <c r="C20" s="634"/>
      <c r="D20" s="653">
        <v>0</v>
      </c>
      <c r="E20" s="469"/>
      <c r="F20" s="634"/>
      <c r="G20" s="653">
        <v>0</v>
      </c>
      <c r="H20" s="469"/>
      <c r="I20" s="634"/>
      <c r="J20" s="653">
        <v>0</v>
      </c>
      <c r="K20" s="469"/>
      <c r="L20" s="634"/>
      <c r="M20" s="653">
        <v>0</v>
      </c>
      <c r="N20" s="469"/>
      <c r="O20" s="634"/>
      <c r="P20" s="653">
        <v>0</v>
      </c>
      <c r="Q20" s="469"/>
      <c r="R20" s="634"/>
      <c r="S20" s="653">
        <v>0</v>
      </c>
      <c r="T20" s="469"/>
      <c r="U20" s="634"/>
      <c r="V20" s="653">
        <v>0</v>
      </c>
      <c r="W20" s="469"/>
      <c r="X20" s="634"/>
      <c r="Y20" s="653">
        <v>0</v>
      </c>
      <c r="Z20" s="469"/>
      <c r="AA20" s="634"/>
      <c r="AB20" s="653">
        <v>0</v>
      </c>
      <c r="AC20" s="469"/>
      <c r="AD20" s="634"/>
      <c r="AE20" s="653">
        <v>0</v>
      </c>
      <c r="AF20" s="469"/>
      <c r="AG20" s="456"/>
      <c r="AH20" s="489">
        <f t="shared" si="10"/>
        <v>0</v>
      </c>
    </row>
    <row r="21" spans="1:34" x14ac:dyDescent="0.2">
      <c r="A21" s="475"/>
      <c r="B21" s="496" t="s">
        <v>460</v>
      </c>
      <c r="C21" s="634"/>
      <c r="D21" s="653">
        <v>0</v>
      </c>
      <c r="E21" s="469"/>
      <c r="F21" s="634"/>
      <c r="G21" s="653">
        <v>0</v>
      </c>
      <c r="H21" s="469"/>
      <c r="I21" s="634"/>
      <c r="J21" s="653">
        <v>0</v>
      </c>
      <c r="K21" s="469"/>
      <c r="L21" s="634"/>
      <c r="M21" s="653">
        <v>0</v>
      </c>
      <c r="N21" s="469"/>
      <c r="O21" s="634"/>
      <c r="P21" s="653">
        <v>0</v>
      </c>
      <c r="Q21" s="469"/>
      <c r="R21" s="634"/>
      <c r="S21" s="653">
        <v>0</v>
      </c>
      <c r="T21" s="469"/>
      <c r="U21" s="634"/>
      <c r="V21" s="653">
        <v>0</v>
      </c>
      <c r="W21" s="469"/>
      <c r="X21" s="634"/>
      <c r="Y21" s="653">
        <v>0</v>
      </c>
      <c r="Z21" s="469"/>
      <c r="AA21" s="634"/>
      <c r="AB21" s="653">
        <v>0</v>
      </c>
      <c r="AC21" s="469"/>
      <c r="AD21" s="634"/>
      <c r="AE21" s="653">
        <v>0</v>
      </c>
      <c r="AF21" s="469"/>
      <c r="AG21" s="456"/>
      <c r="AH21" s="489">
        <f t="shared" si="10"/>
        <v>0</v>
      </c>
    </row>
    <row r="22" spans="1:34" x14ac:dyDescent="0.2">
      <c r="A22" s="475"/>
      <c r="B22" s="496" t="s">
        <v>460</v>
      </c>
      <c r="C22" s="634"/>
      <c r="D22" s="653">
        <v>0</v>
      </c>
      <c r="E22" s="469"/>
      <c r="F22" s="634"/>
      <c r="G22" s="653">
        <v>0</v>
      </c>
      <c r="H22" s="469"/>
      <c r="I22" s="634"/>
      <c r="J22" s="653">
        <v>0</v>
      </c>
      <c r="K22" s="469"/>
      <c r="L22" s="634"/>
      <c r="M22" s="653">
        <v>0</v>
      </c>
      <c r="N22" s="469"/>
      <c r="O22" s="634"/>
      <c r="P22" s="653">
        <v>0</v>
      </c>
      <c r="Q22" s="469"/>
      <c r="R22" s="634"/>
      <c r="S22" s="653">
        <v>0</v>
      </c>
      <c r="T22" s="469"/>
      <c r="U22" s="634"/>
      <c r="V22" s="653">
        <v>0</v>
      </c>
      <c r="W22" s="469"/>
      <c r="X22" s="634"/>
      <c r="Y22" s="653">
        <v>0</v>
      </c>
      <c r="Z22" s="469"/>
      <c r="AA22" s="634"/>
      <c r="AB22" s="653">
        <v>0</v>
      </c>
      <c r="AC22" s="469"/>
      <c r="AD22" s="634"/>
      <c r="AE22" s="653">
        <v>0</v>
      </c>
      <c r="AF22" s="469"/>
      <c r="AG22" s="456"/>
      <c r="AH22" s="489">
        <f t="shared" si="10"/>
        <v>0</v>
      </c>
    </row>
    <row r="23" spans="1:34" ht="15.75" thickBot="1" x14ac:dyDescent="0.3">
      <c r="A23" s="476"/>
      <c r="B23" s="458" t="s">
        <v>512</v>
      </c>
      <c r="C23" s="483">
        <f>SUM(C6+C16)</f>
        <v>1134193.2991200001</v>
      </c>
      <c r="D23" s="488">
        <f>SUM(D6,D16)</f>
        <v>1134193.2991200001</v>
      </c>
      <c r="E23" s="470"/>
      <c r="F23" s="483">
        <f>SUM(F6+F16)</f>
        <v>803304.08927999996</v>
      </c>
      <c r="G23" s="488">
        <f>SUM(G6,G16)</f>
        <v>803304.08927999996</v>
      </c>
      <c r="H23" s="470"/>
      <c r="I23" s="483">
        <f>SUM(I6+I16)</f>
        <v>549934.36</v>
      </c>
      <c r="J23" s="488">
        <f>SUM(J6,J16)</f>
        <v>549934.36</v>
      </c>
      <c r="K23" s="470"/>
      <c r="L23" s="483">
        <f>SUM(L6+L16)</f>
        <v>549934.36</v>
      </c>
      <c r="M23" s="488">
        <f>SUM(M6,M16)</f>
        <v>549934.36</v>
      </c>
      <c r="N23" s="470"/>
      <c r="O23" s="483">
        <f>SUM(O6+O16)</f>
        <v>102634.36</v>
      </c>
      <c r="P23" s="488">
        <f>SUM(P6,P16)</f>
        <v>102634.36</v>
      </c>
      <c r="Q23" s="470"/>
      <c r="R23" s="483">
        <f>SUM(R6+R16)</f>
        <v>102634.36</v>
      </c>
      <c r="S23" s="488">
        <f>SUM(S6,S16)</f>
        <v>102634.36</v>
      </c>
      <c r="T23" s="470"/>
      <c r="U23" s="483">
        <f>SUM(U6+U16)</f>
        <v>102634.36</v>
      </c>
      <c r="V23" s="488">
        <f>SUM(V6,V16)</f>
        <v>102634.36</v>
      </c>
      <c r="W23" s="470"/>
      <c r="X23" s="483">
        <f>SUM(X6+X16)</f>
        <v>102634.36</v>
      </c>
      <c r="Y23" s="488">
        <f>SUM(Y6,Y16)</f>
        <v>102634.36</v>
      </c>
      <c r="Z23" s="470"/>
      <c r="AA23" s="483">
        <f>SUM(AA6+AA16)</f>
        <v>102634.36</v>
      </c>
      <c r="AB23" s="488">
        <f>SUM(AB6,AB16)</f>
        <v>102634.36</v>
      </c>
      <c r="AC23" s="470"/>
      <c r="AD23" s="483">
        <f>SUM(AD6+AD16)</f>
        <v>102634.36</v>
      </c>
      <c r="AE23" s="488">
        <f>SUM(AE6,AE16)</f>
        <v>102634.36</v>
      </c>
      <c r="AF23" s="470"/>
      <c r="AG23" s="459"/>
      <c r="AH23" s="491">
        <f t="shared" si="10"/>
        <v>3653172.2683999999</v>
      </c>
    </row>
    <row r="24" spans="1:34" ht="15" thickTop="1" x14ac:dyDescent="0.2">
      <c r="N24" s="460"/>
      <c r="AH24" s="8"/>
    </row>
    <row r="25" spans="1:34" x14ac:dyDescent="0.2">
      <c r="AH25" s="8"/>
    </row>
    <row r="26" spans="1:34" x14ac:dyDescent="0.2">
      <c r="AH26" s="8"/>
    </row>
    <row r="27" spans="1:34" x14ac:dyDescent="0.2">
      <c r="AH27" s="8"/>
    </row>
    <row r="28" spans="1:34" x14ac:dyDescent="0.2">
      <c r="AH28" s="8"/>
    </row>
    <row r="29" spans="1:34" x14ac:dyDescent="0.2">
      <c r="AH29" s="8"/>
    </row>
    <row r="30" spans="1:34" x14ac:dyDescent="0.2">
      <c r="AH30" s="8"/>
    </row>
    <row r="31" spans="1:34" x14ac:dyDescent="0.2">
      <c r="AH31" s="8"/>
    </row>
    <row r="32" spans="1:34" x14ac:dyDescent="0.2">
      <c r="AH32" s="8"/>
    </row>
    <row r="33" spans="1:34" x14ac:dyDescent="0.2">
      <c r="AH33" s="8"/>
    </row>
    <row r="34" spans="1:34" x14ac:dyDescent="0.2">
      <c r="AH34" s="8"/>
    </row>
    <row r="35" spans="1:34" s="16" customFormat="1" x14ac:dyDescent="0.2"/>
    <row r="36" spans="1:34" s="16" customFormat="1" x14ac:dyDescent="0.2"/>
    <row r="37" spans="1:34" x14ac:dyDescent="0.2">
      <c r="AH37" s="8"/>
    </row>
    <row r="38" spans="1:34" s="12" customFormat="1" ht="12.75" x14ac:dyDescent="0.2"/>
    <row r="39" spans="1:34" ht="15" x14ac:dyDescent="0.25">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row>
    <row r="40" spans="1:34" x14ac:dyDescent="0.2">
      <c r="A40" s="9"/>
      <c r="B40" s="9"/>
      <c r="C40" s="18"/>
      <c r="D40" s="18"/>
      <c r="E40" s="18"/>
    </row>
    <row r="41" spans="1:34" x14ac:dyDescent="0.2">
      <c r="A41" s="9"/>
      <c r="B41" s="9"/>
    </row>
    <row r="42" spans="1:34" x14ac:dyDescent="0.2">
      <c r="A42" s="9"/>
      <c r="B42" s="9"/>
    </row>
    <row r="43" spans="1:34" x14ac:dyDescent="0.2">
      <c r="A43" s="9"/>
      <c r="B43" s="9"/>
    </row>
    <row r="44" spans="1:34" x14ac:dyDescent="0.2">
      <c r="A44" s="9"/>
      <c r="B44" s="9"/>
    </row>
    <row r="45" spans="1:34" x14ac:dyDescent="0.2">
      <c r="A45" s="9"/>
      <c r="B45" s="9"/>
    </row>
    <row r="46" spans="1:34" x14ac:dyDescent="0.2">
      <c r="A46" s="9"/>
      <c r="B46" s="9"/>
    </row>
    <row r="82" spans="1:2" x14ac:dyDescent="0.2">
      <c r="A82" s="9"/>
      <c r="B82" s="9"/>
    </row>
    <row r="83" spans="1:2" x14ac:dyDescent="0.2">
      <c r="A83" s="9"/>
      <c r="B83" s="9"/>
    </row>
    <row r="84" spans="1:2" x14ac:dyDescent="0.2">
      <c r="A84" s="9"/>
      <c r="B84" s="9"/>
    </row>
    <row r="85" spans="1:2" x14ac:dyDescent="0.2">
      <c r="A85" s="9"/>
      <c r="B85" s="9"/>
    </row>
    <row r="86" spans="1:2" x14ac:dyDescent="0.2">
      <c r="A86" s="9"/>
      <c r="B86" s="9"/>
    </row>
    <row r="87" spans="1:2" x14ac:dyDescent="0.2">
      <c r="A87" s="9"/>
      <c r="B87" s="9"/>
    </row>
    <row r="88" spans="1:2" x14ac:dyDescent="0.2">
      <c r="A88" s="9"/>
      <c r="B88" s="9"/>
    </row>
    <row r="89" spans="1:2" x14ac:dyDescent="0.2">
      <c r="A89" s="9"/>
      <c r="B89" s="9"/>
    </row>
    <row r="90" spans="1:2" x14ac:dyDescent="0.2">
      <c r="A90" s="9"/>
      <c r="B90" s="9"/>
    </row>
    <row r="91" spans="1:2" x14ac:dyDescent="0.2">
      <c r="A91" s="9"/>
      <c r="B91" s="9"/>
    </row>
    <row r="92" spans="1:2" x14ac:dyDescent="0.2">
      <c r="A92" s="9"/>
      <c r="B92" s="9"/>
    </row>
    <row r="93" spans="1:2" x14ac:dyDescent="0.2">
      <c r="A93" s="9"/>
      <c r="B93" s="9"/>
    </row>
    <row r="94" spans="1:2" x14ac:dyDescent="0.2">
      <c r="A94" s="9"/>
      <c r="B94" s="9"/>
    </row>
    <row r="95" spans="1:2" x14ac:dyDescent="0.2">
      <c r="A95" s="9"/>
      <c r="B95" s="9"/>
    </row>
    <row r="96" spans="1:2" x14ac:dyDescent="0.2">
      <c r="A96" s="9"/>
      <c r="B96" s="9"/>
    </row>
    <row r="97" spans="1:2" x14ac:dyDescent="0.2">
      <c r="A97" s="9"/>
      <c r="B97" s="9"/>
    </row>
    <row r="98" spans="1:2" x14ac:dyDescent="0.2">
      <c r="A98" s="9"/>
      <c r="B98" s="9"/>
    </row>
    <row r="99" spans="1:2" x14ac:dyDescent="0.2">
      <c r="A99" s="9"/>
      <c r="B99" s="9"/>
    </row>
    <row r="100" spans="1:2" x14ac:dyDescent="0.2">
      <c r="A100" s="9"/>
      <c r="B100" s="9"/>
    </row>
    <row r="101" spans="1:2" x14ac:dyDescent="0.2">
      <c r="A101" s="9"/>
      <c r="B101" s="9"/>
    </row>
    <row r="102" spans="1:2" x14ac:dyDescent="0.2">
      <c r="A102" s="9"/>
      <c r="B102" s="9"/>
    </row>
    <row r="103" spans="1:2" x14ac:dyDescent="0.2">
      <c r="A103" s="9"/>
      <c r="B103" s="9"/>
    </row>
    <row r="104" spans="1:2" x14ac:dyDescent="0.2">
      <c r="A104" s="9"/>
      <c r="B104" s="9"/>
    </row>
    <row r="105" spans="1:2" x14ac:dyDescent="0.2">
      <c r="A105" s="9"/>
      <c r="B105" s="9"/>
    </row>
    <row r="106" spans="1:2" x14ac:dyDescent="0.2">
      <c r="A106" s="9"/>
      <c r="B106" s="9"/>
    </row>
    <row r="107" spans="1:2" x14ac:dyDescent="0.2">
      <c r="A107" s="9"/>
      <c r="B107" s="9"/>
    </row>
    <row r="108" spans="1:2" x14ac:dyDescent="0.2">
      <c r="A108" s="9"/>
      <c r="B108" s="9"/>
    </row>
    <row r="109" spans="1:2" x14ac:dyDescent="0.2">
      <c r="A109" s="9"/>
      <c r="B109" s="9"/>
    </row>
    <row r="110" spans="1:2" x14ac:dyDescent="0.2">
      <c r="A110" s="9"/>
      <c r="B110" s="9"/>
    </row>
    <row r="111" spans="1:2" x14ac:dyDescent="0.2">
      <c r="A111" s="9"/>
      <c r="B111" s="9"/>
    </row>
    <row r="112" spans="1:2" x14ac:dyDescent="0.2">
      <c r="A112" s="9"/>
      <c r="B112" s="9"/>
    </row>
    <row r="113" spans="1:2" x14ac:dyDescent="0.2">
      <c r="A113" s="9"/>
      <c r="B113" s="9"/>
    </row>
    <row r="114" spans="1:2" x14ac:dyDescent="0.2">
      <c r="A114" s="9"/>
      <c r="B114" s="9"/>
    </row>
    <row r="115" spans="1:2" x14ac:dyDescent="0.2">
      <c r="A115" s="9"/>
      <c r="B115" s="9"/>
    </row>
    <row r="116" spans="1:2" x14ac:dyDescent="0.2">
      <c r="A116" s="9"/>
      <c r="B116" s="9"/>
    </row>
    <row r="117" spans="1:2" x14ac:dyDescent="0.2">
      <c r="A117" s="9"/>
      <c r="B117" s="9"/>
    </row>
    <row r="118" spans="1:2" x14ac:dyDescent="0.2">
      <c r="A118" s="9"/>
      <c r="B118" s="9"/>
    </row>
    <row r="119" spans="1:2" x14ac:dyDescent="0.2">
      <c r="A119" s="9"/>
      <c r="B119" s="9"/>
    </row>
    <row r="120" spans="1:2" x14ac:dyDescent="0.2">
      <c r="A120" s="9"/>
      <c r="B120" s="9"/>
    </row>
    <row r="121" spans="1:2" x14ac:dyDescent="0.2">
      <c r="A121" s="9"/>
      <c r="B121" s="9"/>
    </row>
    <row r="122" spans="1:2" x14ac:dyDescent="0.2">
      <c r="A122" s="9"/>
      <c r="B122" s="9"/>
    </row>
    <row r="123" spans="1:2" x14ac:dyDescent="0.2">
      <c r="A123" s="9"/>
      <c r="B123" s="9"/>
    </row>
    <row r="124" spans="1:2" x14ac:dyDescent="0.2">
      <c r="A124" s="9"/>
      <c r="B124" s="9"/>
    </row>
    <row r="125" spans="1:2" x14ac:dyDescent="0.2">
      <c r="A125" s="9"/>
      <c r="B125" s="9"/>
    </row>
    <row r="126" spans="1:2" x14ac:dyDescent="0.2">
      <c r="A126" s="9"/>
      <c r="B126" s="9"/>
    </row>
    <row r="127" spans="1:2" x14ac:dyDescent="0.2">
      <c r="A127" s="9"/>
      <c r="B127" s="9"/>
    </row>
    <row r="128" spans="1:2" x14ac:dyDescent="0.2">
      <c r="A128" s="9"/>
      <c r="B128" s="9"/>
    </row>
    <row r="129" spans="1:2" x14ac:dyDescent="0.2">
      <c r="A129" s="9"/>
      <c r="B129" s="9"/>
    </row>
    <row r="130" spans="1:2" x14ac:dyDescent="0.2">
      <c r="A130" s="9"/>
      <c r="B130" s="9"/>
    </row>
    <row r="131" spans="1:2" x14ac:dyDescent="0.2">
      <c r="A131" s="9"/>
      <c r="B131" s="9"/>
    </row>
    <row r="132" spans="1:2" x14ac:dyDescent="0.2">
      <c r="A132" s="9"/>
      <c r="B132" s="9"/>
    </row>
    <row r="133" spans="1:2" x14ac:dyDescent="0.2">
      <c r="A133" s="9"/>
      <c r="B133" s="9"/>
    </row>
    <row r="134" spans="1:2" x14ac:dyDescent="0.2">
      <c r="A134" s="9"/>
      <c r="B134" s="9"/>
    </row>
    <row r="135" spans="1:2" x14ac:dyDescent="0.2">
      <c r="A135" s="9"/>
      <c r="B135" s="9"/>
    </row>
    <row r="136" spans="1:2" x14ac:dyDescent="0.2">
      <c r="A136" s="9"/>
      <c r="B136" s="9"/>
    </row>
    <row r="137" spans="1:2" x14ac:dyDescent="0.2">
      <c r="A137" s="9"/>
      <c r="B137" s="9"/>
    </row>
    <row r="138" spans="1:2" x14ac:dyDescent="0.2">
      <c r="A138" s="9"/>
      <c r="B138" s="9"/>
    </row>
    <row r="139" spans="1:2" x14ac:dyDescent="0.2">
      <c r="A139" s="9"/>
      <c r="B139" s="9"/>
    </row>
    <row r="140" spans="1:2" x14ac:dyDescent="0.2">
      <c r="A140" s="9"/>
      <c r="B140" s="9"/>
    </row>
    <row r="141" spans="1:2" x14ac:dyDescent="0.2">
      <c r="A141" s="9"/>
      <c r="B141" s="9"/>
    </row>
    <row r="142" spans="1:2" x14ac:dyDescent="0.2">
      <c r="A142" s="9"/>
      <c r="B142" s="9"/>
    </row>
    <row r="143" spans="1:2" x14ac:dyDescent="0.2">
      <c r="A143" s="9"/>
      <c r="B143" s="9"/>
    </row>
    <row r="144" spans="1:2" x14ac:dyDescent="0.2">
      <c r="A144" s="9"/>
      <c r="B144" s="9"/>
    </row>
    <row r="145" spans="1:2" x14ac:dyDescent="0.2">
      <c r="A145" s="9"/>
      <c r="B145" s="9"/>
    </row>
    <row r="146" spans="1:2" x14ac:dyDescent="0.2">
      <c r="A146" s="9"/>
      <c r="B146" s="9"/>
    </row>
    <row r="147" spans="1:2" x14ac:dyDescent="0.2">
      <c r="A147" s="9"/>
      <c r="B147" s="9"/>
    </row>
    <row r="148" spans="1:2" x14ac:dyDescent="0.2">
      <c r="A148" s="9"/>
      <c r="B148" s="9"/>
    </row>
    <row r="149" spans="1:2" x14ac:dyDescent="0.2">
      <c r="A149" s="9"/>
      <c r="B149" s="9"/>
    </row>
    <row r="150" spans="1:2" x14ac:dyDescent="0.2">
      <c r="A150" s="9"/>
      <c r="B150" s="9"/>
    </row>
    <row r="151" spans="1:2" x14ac:dyDescent="0.2">
      <c r="A151" s="9"/>
      <c r="B151" s="9"/>
    </row>
    <row r="152" spans="1:2" x14ac:dyDescent="0.2">
      <c r="A152" s="9"/>
      <c r="B152" s="9"/>
    </row>
    <row r="153" spans="1:2" x14ac:dyDescent="0.2">
      <c r="A153" s="9"/>
      <c r="B153" s="9"/>
    </row>
    <row r="154" spans="1:2" x14ac:dyDescent="0.2">
      <c r="A154" s="9"/>
      <c r="B154" s="9"/>
    </row>
    <row r="155" spans="1:2" x14ac:dyDescent="0.2">
      <c r="A155" s="9"/>
      <c r="B155" s="9"/>
    </row>
    <row r="156" spans="1:2" x14ac:dyDescent="0.2">
      <c r="A156" s="9"/>
      <c r="B156" s="9"/>
    </row>
    <row r="157" spans="1:2" x14ac:dyDescent="0.2">
      <c r="A157" s="9"/>
      <c r="B157" s="9"/>
    </row>
    <row r="158" spans="1:2" x14ac:dyDescent="0.2">
      <c r="A158" s="9"/>
      <c r="B158" s="9"/>
    </row>
    <row r="159" spans="1:2" x14ac:dyDescent="0.2">
      <c r="A159" s="9"/>
      <c r="B159" s="9"/>
    </row>
    <row r="160" spans="1:2" x14ac:dyDescent="0.2">
      <c r="A160" s="9"/>
      <c r="B160" s="9"/>
    </row>
    <row r="161" spans="1:2" x14ac:dyDescent="0.2">
      <c r="A161" s="9"/>
      <c r="B161" s="9"/>
    </row>
    <row r="162" spans="1:2" x14ac:dyDescent="0.2">
      <c r="A162" s="9"/>
      <c r="B162" s="9"/>
    </row>
    <row r="163" spans="1:2" x14ac:dyDescent="0.2">
      <c r="A163" s="9"/>
      <c r="B163" s="9"/>
    </row>
    <row r="164" spans="1:2" x14ac:dyDescent="0.2">
      <c r="A164" s="9"/>
      <c r="B164" s="9"/>
    </row>
    <row r="165" spans="1:2" x14ac:dyDescent="0.2">
      <c r="A165" s="9"/>
      <c r="B165" s="9"/>
    </row>
    <row r="166" spans="1:2" x14ac:dyDescent="0.2">
      <c r="A166" s="9"/>
      <c r="B166" s="9"/>
    </row>
    <row r="167" spans="1:2" x14ac:dyDescent="0.2">
      <c r="A167" s="9"/>
      <c r="B167" s="9"/>
    </row>
    <row r="168" spans="1:2" x14ac:dyDescent="0.2">
      <c r="A168" s="9"/>
      <c r="B168" s="9"/>
    </row>
    <row r="169" spans="1:2" x14ac:dyDescent="0.2">
      <c r="A169" s="9"/>
      <c r="B169" s="9"/>
    </row>
    <row r="170" spans="1:2" x14ac:dyDescent="0.2">
      <c r="A170" s="9"/>
      <c r="B170" s="9"/>
    </row>
    <row r="171" spans="1:2" x14ac:dyDescent="0.2">
      <c r="A171" s="9"/>
      <c r="B171" s="9"/>
    </row>
    <row r="172" spans="1:2" x14ac:dyDescent="0.2">
      <c r="A172" s="9"/>
      <c r="B172" s="9"/>
    </row>
    <row r="173" spans="1:2" x14ac:dyDescent="0.2">
      <c r="A173" s="9"/>
      <c r="B173" s="9"/>
    </row>
    <row r="174" spans="1:2" x14ac:dyDescent="0.2">
      <c r="A174" s="9"/>
      <c r="B174" s="9"/>
    </row>
    <row r="175" spans="1:2" x14ac:dyDescent="0.2">
      <c r="A175" s="9"/>
      <c r="B175" s="9"/>
    </row>
    <row r="176" spans="1:2" x14ac:dyDescent="0.2">
      <c r="A176" s="9"/>
      <c r="B176" s="9"/>
    </row>
    <row r="177" spans="1:2" x14ac:dyDescent="0.2">
      <c r="A177" s="9"/>
      <c r="B177" s="9"/>
    </row>
    <row r="178" spans="1:2" x14ac:dyDescent="0.2">
      <c r="A178" s="9"/>
      <c r="B178" s="9"/>
    </row>
    <row r="179" spans="1:2" x14ac:dyDescent="0.2">
      <c r="A179" s="9"/>
      <c r="B179" s="9"/>
    </row>
    <row r="180" spans="1:2" x14ac:dyDescent="0.2">
      <c r="A180" s="9"/>
      <c r="B180" s="9"/>
    </row>
    <row r="181" spans="1:2" x14ac:dyDescent="0.2">
      <c r="A181" s="9"/>
      <c r="B181" s="9"/>
    </row>
    <row r="182" spans="1:2" x14ac:dyDescent="0.2">
      <c r="A182" s="9"/>
      <c r="B182" s="9"/>
    </row>
    <row r="183" spans="1:2" x14ac:dyDescent="0.2">
      <c r="A183" s="9"/>
      <c r="B183" s="9"/>
    </row>
    <row r="184" spans="1:2" x14ac:dyDescent="0.2">
      <c r="A184" s="9"/>
      <c r="B184" s="9"/>
    </row>
    <row r="185" spans="1:2" x14ac:dyDescent="0.2">
      <c r="A185" s="9"/>
      <c r="B185" s="9"/>
    </row>
    <row r="186" spans="1:2" x14ac:dyDescent="0.2">
      <c r="A186" s="9"/>
      <c r="B186" s="9"/>
    </row>
    <row r="187" spans="1:2" x14ac:dyDescent="0.2">
      <c r="A187" s="9"/>
      <c r="B187" s="9"/>
    </row>
    <row r="188" spans="1:2" x14ac:dyDescent="0.2">
      <c r="A188" s="9"/>
      <c r="B188" s="9"/>
    </row>
    <row r="189" spans="1:2" x14ac:dyDescent="0.2">
      <c r="A189" s="9"/>
      <c r="B189" s="9"/>
    </row>
    <row r="190" spans="1:2" x14ac:dyDescent="0.2">
      <c r="A190" s="9"/>
      <c r="B190" s="9"/>
    </row>
    <row r="191" spans="1:2" x14ac:dyDescent="0.2">
      <c r="A191" s="9"/>
      <c r="B191" s="9"/>
    </row>
    <row r="192" spans="1:2" x14ac:dyDescent="0.2">
      <c r="A192" s="9"/>
      <c r="B192" s="9"/>
    </row>
    <row r="193" spans="1:2" x14ac:dyDescent="0.2">
      <c r="A193" s="9"/>
      <c r="B193" s="9"/>
    </row>
    <row r="194" spans="1:2" x14ac:dyDescent="0.2">
      <c r="A194" s="9"/>
      <c r="B194" s="9"/>
    </row>
    <row r="195" spans="1:2" x14ac:dyDescent="0.2">
      <c r="A195" s="9"/>
      <c r="B195" s="9"/>
    </row>
    <row r="196" spans="1:2" x14ac:dyDescent="0.2">
      <c r="A196" s="9"/>
      <c r="B196" s="9"/>
    </row>
    <row r="197" spans="1:2" x14ac:dyDescent="0.2">
      <c r="A197" s="9"/>
      <c r="B197" s="9"/>
    </row>
    <row r="198" spans="1:2" x14ac:dyDescent="0.2">
      <c r="A198" s="9"/>
      <c r="B198" s="9"/>
    </row>
    <row r="199" spans="1:2" x14ac:dyDescent="0.2">
      <c r="A199" s="9"/>
      <c r="B199" s="9"/>
    </row>
    <row r="200" spans="1:2" x14ac:dyDescent="0.2">
      <c r="A200" s="9"/>
      <c r="B200" s="9"/>
    </row>
    <row r="201" spans="1:2" x14ac:dyDescent="0.2">
      <c r="A201" s="9"/>
      <c r="B201" s="9"/>
    </row>
    <row r="202" spans="1:2" x14ac:dyDescent="0.2">
      <c r="A202" s="9"/>
      <c r="B202" s="9"/>
    </row>
    <row r="203" spans="1:2" x14ac:dyDescent="0.2">
      <c r="A203" s="9"/>
      <c r="B203" s="9"/>
    </row>
    <row r="204" spans="1:2" x14ac:dyDescent="0.2">
      <c r="A204" s="9"/>
      <c r="B204" s="9"/>
    </row>
    <row r="205" spans="1:2" x14ac:dyDescent="0.2">
      <c r="A205" s="9"/>
      <c r="B205" s="9"/>
    </row>
    <row r="206" spans="1:2" x14ac:dyDescent="0.2">
      <c r="A206" s="9"/>
      <c r="B206" s="9"/>
    </row>
    <row r="207" spans="1:2" x14ac:dyDescent="0.2">
      <c r="A207" s="9"/>
      <c r="B207" s="9"/>
    </row>
    <row r="208" spans="1:2" x14ac:dyDescent="0.2">
      <c r="A208" s="9"/>
      <c r="B208" s="9"/>
    </row>
    <row r="209" spans="1:2" x14ac:dyDescent="0.2">
      <c r="A209" s="9"/>
      <c r="B209" s="9"/>
    </row>
    <row r="210" spans="1:2" x14ac:dyDescent="0.2">
      <c r="A210" s="9"/>
      <c r="B210" s="9"/>
    </row>
    <row r="211" spans="1:2" x14ac:dyDescent="0.2">
      <c r="A211" s="9"/>
      <c r="B211" s="9"/>
    </row>
    <row r="212" spans="1:2" x14ac:dyDescent="0.2">
      <c r="A212" s="9"/>
      <c r="B212" s="9"/>
    </row>
    <row r="213" spans="1:2" x14ac:dyDescent="0.2">
      <c r="A213" s="9"/>
      <c r="B213" s="9"/>
    </row>
    <row r="214" spans="1:2" x14ac:dyDescent="0.2">
      <c r="A214" s="9"/>
      <c r="B214" s="9"/>
    </row>
    <row r="215" spans="1:2" x14ac:dyDescent="0.2">
      <c r="A215" s="9"/>
      <c r="B215" s="9"/>
    </row>
    <row r="216" spans="1:2" x14ac:dyDescent="0.2">
      <c r="A216" s="9"/>
      <c r="B216" s="9"/>
    </row>
    <row r="217" spans="1:2" x14ac:dyDescent="0.2">
      <c r="A217" s="9"/>
      <c r="B217" s="9"/>
    </row>
    <row r="218" spans="1:2" x14ac:dyDescent="0.2">
      <c r="A218" s="9"/>
      <c r="B218" s="9"/>
    </row>
    <row r="219" spans="1:2" x14ac:dyDescent="0.2">
      <c r="A219" s="9"/>
      <c r="B219" s="9"/>
    </row>
    <row r="220" spans="1:2" x14ac:dyDescent="0.2">
      <c r="A220" s="9"/>
      <c r="B220" s="9"/>
    </row>
    <row r="221" spans="1:2" x14ac:dyDescent="0.2">
      <c r="A221" s="9"/>
      <c r="B221" s="9"/>
    </row>
    <row r="222" spans="1:2" x14ac:dyDescent="0.2">
      <c r="A222" s="9"/>
      <c r="B222" s="9"/>
    </row>
    <row r="223" spans="1:2" x14ac:dyDescent="0.2">
      <c r="A223" s="9"/>
      <c r="B223" s="9"/>
    </row>
    <row r="224" spans="1:2" x14ac:dyDescent="0.2">
      <c r="A224" s="9"/>
      <c r="B224" s="9"/>
    </row>
    <row r="225" spans="1:2" x14ac:dyDescent="0.2">
      <c r="A225" s="9"/>
      <c r="B225" s="9"/>
    </row>
    <row r="226" spans="1:2" x14ac:dyDescent="0.2">
      <c r="A226" s="9"/>
      <c r="B226" s="9"/>
    </row>
    <row r="227" spans="1:2" x14ac:dyDescent="0.2">
      <c r="A227" s="9"/>
      <c r="B227" s="9"/>
    </row>
    <row r="228" spans="1:2" x14ac:dyDescent="0.2">
      <c r="A228" s="9"/>
      <c r="B228" s="9"/>
    </row>
    <row r="229" spans="1:2" x14ac:dyDescent="0.2">
      <c r="A229" s="9"/>
      <c r="B229" s="9"/>
    </row>
    <row r="230" spans="1:2" x14ac:dyDescent="0.2">
      <c r="A230" s="9"/>
      <c r="B230" s="9"/>
    </row>
    <row r="231" spans="1:2" x14ac:dyDescent="0.2">
      <c r="A231" s="9"/>
      <c r="B231" s="9"/>
    </row>
    <row r="232" spans="1:2" x14ac:dyDescent="0.2">
      <c r="A232" s="9"/>
      <c r="B232" s="9"/>
    </row>
    <row r="233" spans="1:2" x14ac:dyDescent="0.2">
      <c r="A233" s="9"/>
      <c r="B233" s="9"/>
    </row>
    <row r="234" spans="1:2" x14ac:dyDescent="0.2">
      <c r="A234" s="9"/>
      <c r="B234" s="9"/>
    </row>
    <row r="235" spans="1:2" x14ac:dyDescent="0.2">
      <c r="A235" s="9"/>
      <c r="B235" s="9"/>
    </row>
    <row r="236" spans="1:2" x14ac:dyDescent="0.2">
      <c r="A236" s="9"/>
      <c r="B236" s="9"/>
    </row>
    <row r="237" spans="1:2" x14ac:dyDescent="0.2">
      <c r="A237" s="9"/>
      <c r="B237" s="9"/>
    </row>
    <row r="238" spans="1:2" x14ac:dyDescent="0.2">
      <c r="A238" s="9"/>
      <c r="B238" s="9"/>
    </row>
    <row r="239" spans="1:2" x14ac:dyDescent="0.2">
      <c r="A239" s="9"/>
      <c r="B239" s="9"/>
    </row>
    <row r="240" spans="1:2" x14ac:dyDescent="0.2">
      <c r="A240" s="9"/>
      <c r="B240" s="9"/>
    </row>
    <row r="241" spans="1:2" x14ac:dyDescent="0.2">
      <c r="A241" s="9"/>
      <c r="B241" s="9"/>
    </row>
    <row r="242" spans="1:2" x14ac:dyDescent="0.2">
      <c r="A242" s="9"/>
      <c r="B242" s="9"/>
    </row>
    <row r="243" spans="1:2" x14ac:dyDescent="0.2">
      <c r="A243" s="9"/>
      <c r="B243" s="9"/>
    </row>
    <row r="244" spans="1:2" x14ac:dyDescent="0.2">
      <c r="A244" s="9"/>
      <c r="B244" s="9"/>
    </row>
    <row r="245" spans="1:2" x14ac:dyDescent="0.2">
      <c r="A245" s="9"/>
      <c r="B245" s="9"/>
    </row>
    <row r="246" spans="1:2" x14ac:dyDescent="0.2">
      <c r="A246" s="9"/>
      <c r="B246" s="9"/>
    </row>
    <row r="247" spans="1:2" x14ac:dyDescent="0.2">
      <c r="A247" s="9"/>
      <c r="B247" s="9"/>
    </row>
    <row r="248" spans="1:2" x14ac:dyDescent="0.2">
      <c r="A248" s="9"/>
      <c r="B248" s="9"/>
    </row>
    <row r="249" spans="1:2" x14ac:dyDescent="0.2">
      <c r="A249" s="9"/>
      <c r="B249" s="9"/>
    </row>
    <row r="250" spans="1:2" x14ac:dyDescent="0.2">
      <c r="A250" s="9"/>
      <c r="B250" s="9"/>
    </row>
    <row r="251" spans="1:2" x14ac:dyDescent="0.2">
      <c r="A251" s="9"/>
      <c r="B251" s="9"/>
    </row>
    <row r="252" spans="1:2" x14ac:dyDescent="0.2">
      <c r="A252" s="9"/>
      <c r="B252" s="9"/>
    </row>
    <row r="253" spans="1:2" x14ac:dyDescent="0.2">
      <c r="A253" s="9"/>
      <c r="B253" s="9"/>
    </row>
    <row r="254" spans="1:2" x14ac:dyDescent="0.2">
      <c r="A254" s="9"/>
      <c r="B254" s="9"/>
    </row>
    <row r="255" spans="1:2" x14ac:dyDescent="0.2">
      <c r="A255" s="9"/>
      <c r="B255" s="9"/>
    </row>
    <row r="256" spans="1:2" x14ac:dyDescent="0.2">
      <c r="A256" s="9"/>
      <c r="B256" s="9"/>
    </row>
    <row r="257" spans="1:2" x14ac:dyDescent="0.2">
      <c r="A257" s="9"/>
      <c r="B257" s="9"/>
    </row>
    <row r="258" spans="1:2" x14ac:dyDescent="0.2">
      <c r="A258" s="9"/>
      <c r="B258" s="9"/>
    </row>
    <row r="259" spans="1:2" x14ac:dyDescent="0.2">
      <c r="A259" s="9"/>
      <c r="B259" s="9"/>
    </row>
    <row r="260" spans="1:2" x14ac:dyDescent="0.2">
      <c r="A260" s="9"/>
      <c r="B260" s="9"/>
    </row>
    <row r="261" spans="1:2" x14ac:dyDescent="0.2">
      <c r="A261" s="9"/>
      <c r="B261" s="9"/>
    </row>
    <row r="262" spans="1:2" x14ac:dyDescent="0.2">
      <c r="A262" s="9"/>
      <c r="B262" s="9"/>
    </row>
    <row r="263" spans="1:2" x14ac:dyDescent="0.2">
      <c r="A263" s="9"/>
      <c r="B263" s="9"/>
    </row>
    <row r="264" spans="1:2" x14ac:dyDescent="0.2">
      <c r="A264" s="9"/>
      <c r="B264" s="9"/>
    </row>
    <row r="265" spans="1:2" x14ac:dyDescent="0.2">
      <c r="A265" s="9"/>
      <c r="B265" s="9"/>
    </row>
    <row r="266" spans="1:2" x14ac:dyDescent="0.2">
      <c r="A266" s="9"/>
      <c r="B266" s="9"/>
    </row>
    <row r="267" spans="1:2" x14ac:dyDescent="0.2">
      <c r="A267" s="9"/>
      <c r="B267" s="9"/>
    </row>
    <row r="268" spans="1:2" x14ac:dyDescent="0.2">
      <c r="A268" s="9"/>
      <c r="B268" s="9"/>
    </row>
    <row r="269" spans="1:2" x14ac:dyDescent="0.2">
      <c r="A269" s="9"/>
      <c r="B269" s="9"/>
    </row>
    <row r="270" spans="1:2" x14ac:dyDescent="0.2">
      <c r="A270" s="9"/>
      <c r="B270" s="9"/>
    </row>
    <row r="271" spans="1:2" x14ac:dyDescent="0.2">
      <c r="A271" s="9"/>
      <c r="B271" s="9"/>
    </row>
    <row r="272" spans="1:2" x14ac:dyDescent="0.2">
      <c r="A272" s="9"/>
      <c r="B272" s="9"/>
    </row>
    <row r="273" spans="1:2" x14ac:dyDescent="0.2">
      <c r="A273" s="9"/>
      <c r="B273" s="9"/>
    </row>
    <row r="274" spans="1:2" x14ac:dyDescent="0.2">
      <c r="A274" s="9"/>
      <c r="B274" s="9"/>
    </row>
    <row r="275" spans="1:2" x14ac:dyDescent="0.2">
      <c r="A275" s="9"/>
      <c r="B275" s="9"/>
    </row>
    <row r="276" spans="1:2" x14ac:dyDescent="0.2">
      <c r="A276" s="9"/>
      <c r="B276" s="9"/>
    </row>
    <row r="277" spans="1:2" x14ac:dyDescent="0.2">
      <c r="A277" s="9"/>
      <c r="B277" s="9"/>
    </row>
    <row r="278" spans="1:2" x14ac:dyDescent="0.2">
      <c r="A278" s="9"/>
      <c r="B278" s="9"/>
    </row>
    <row r="279" spans="1:2" x14ac:dyDescent="0.2">
      <c r="A279" s="9"/>
      <c r="B279" s="9"/>
    </row>
    <row r="280" spans="1:2" x14ac:dyDescent="0.2">
      <c r="A280" s="9"/>
      <c r="B280" s="9"/>
    </row>
    <row r="281" spans="1:2" x14ac:dyDescent="0.2">
      <c r="A281" s="9"/>
      <c r="B281" s="9"/>
    </row>
    <row r="282" spans="1:2" x14ac:dyDescent="0.2">
      <c r="A282" s="9"/>
      <c r="B282" s="9"/>
    </row>
    <row r="283" spans="1:2" x14ac:dyDescent="0.2">
      <c r="A283" s="9"/>
      <c r="B283" s="9"/>
    </row>
    <row r="284" spans="1:2" x14ac:dyDescent="0.2">
      <c r="A284" s="9"/>
      <c r="B284" s="9"/>
    </row>
    <row r="285" spans="1:2" x14ac:dyDescent="0.2">
      <c r="A285" s="9"/>
      <c r="B285" s="9"/>
    </row>
    <row r="286" spans="1:2" x14ac:dyDescent="0.2">
      <c r="A286" s="9"/>
      <c r="B286" s="9"/>
    </row>
    <row r="287" spans="1:2" x14ac:dyDescent="0.2">
      <c r="A287" s="9"/>
      <c r="B287" s="9"/>
    </row>
    <row r="288" spans="1:2" x14ac:dyDescent="0.2">
      <c r="A288" s="9"/>
      <c r="B288" s="9"/>
    </row>
    <row r="289" spans="1:2" x14ac:dyDescent="0.2">
      <c r="A289" s="9"/>
      <c r="B289" s="9"/>
    </row>
    <row r="290" spans="1:2" x14ac:dyDescent="0.2">
      <c r="A290" s="9"/>
      <c r="B290" s="9"/>
    </row>
    <row r="291" spans="1:2" x14ac:dyDescent="0.2">
      <c r="A291" s="9"/>
      <c r="B291" s="9"/>
    </row>
    <row r="292" spans="1:2" x14ac:dyDescent="0.2">
      <c r="A292" s="9"/>
      <c r="B292" s="9"/>
    </row>
    <row r="293" spans="1:2" x14ac:dyDescent="0.2">
      <c r="A293" s="9"/>
      <c r="B293" s="9"/>
    </row>
    <row r="294" spans="1:2" x14ac:dyDescent="0.2">
      <c r="A294" s="9"/>
      <c r="B294" s="9"/>
    </row>
    <row r="295" spans="1:2" x14ac:dyDescent="0.2">
      <c r="A295" s="9"/>
      <c r="B295" s="9"/>
    </row>
    <row r="296" spans="1:2" x14ac:dyDescent="0.2">
      <c r="A296" s="9"/>
      <c r="B296" s="9"/>
    </row>
    <row r="297" spans="1:2" x14ac:dyDescent="0.2">
      <c r="A297" s="9"/>
      <c r="B297" s="9"/>
    </row>
    <row r="298" spans="1:2" x14ac:dyDescent="0.2">
      <c r="A298" s="9"/>
      <c r="B298" s="9"/>
    </row>
    <row r="299" spans="1:2" x14ac:dyDescent="0.2">
      <c r="A299" s="9"/>
      <c r="B299" s="9"/>
    </row>
    <row r="300" spans="1:2" x14ac:dyDescent="0.2">
      <c r="A300" s="9"/>
      <c r="B300" s="9"/>
    </row>
    <row r="301" spans="1:2" x14ac:dyDescent="0.2">
      <c r="A301" s="9"/>
      <c r="B301" s="9"/>
    </row>
    <row r="302" spans="1:2" x14ac:dyDescent="0.2">
      <c r="A302" s="9"/>
      <c r="B302" s="9"/>
    </row>
    <row r="303" spans="1:2" x14ac:dyDescent="0.2">
      <c r="A303" s="9"/>
      <c r="B303" s="9"/>
    </row>
    <row r="304" spans="1:2" x14ac:dyDescent="0.2">
      <c r="A304" s="9"/>
      <c r="B304" s="9"/>
    </row>
    <row r="305" spans="1:2" x14ac:dyDescent="0.2">
      <c r="A305" s="9"/>
      <c r="B305" s="9"/>
    </row>
    <row r="306" spans="1:2" x14ac:dyDescent="0.2">
      <c r="A306" s="9"/>
      <c r="B306" s="9"/>
    </row>
    <row r="307" spans="1:2" x14ac:dyDescent="0.2">
      <c r="A307" s="9"/>
      <c r="B307" s="9"/>
    </row>
    <row r="308" spans="1:2" x14ac:dyDescent="0.2">
      <c r="A308" s="9"/>
      <c r="B308" s="9"/>
    </row>
    <row r="309" spans="1:2" x14ac:dyDescent="0.2">
      <c r="A309" s="9"/>
      <c r="B309" s="9"/>
    </row>
    <row r="310" spans="1:2" x14ac:dyDescent="0.2">
      <c r="A310" s="9"/>
      <c r="B310" s="9"/>
    </row>
    <row r="311" spans="1:2" x14ac:dyDescent="0.2">
      <c r="A311" s="9"/>
      <c r="B311" s="9"/>
    </row>
    <row r="312" spans="1:2" x14ac:dyDescent="0.2">
      <c r="A312" s="9"/>
      <c r="B312" s="9"/>
    </row>
    <row r="313" spans="1:2" x14ac:dyDescent="0.2">
      <c r="A313" s="9"/>
      <c r="B313" s="9"/>
    </row>
    <row r="314" spans="1:2" x14ac:dyDescent="0.2">
      <c r="A314" s="9"/>
      <c r="B314" s="9"/>
    </row>
    <row r="315" spans="1:2" x14ac:dyDescent="0.2">
      <c r="A315" s="9"/>
      <c r="B315" s="9"/>
    </row>
    <row r="316" spans="1:2" x14ac:dyDescent="0.2">
      <c r="A316" s="9"/>
      <c r="B316" s="9"/>
    </row>
    <row r="317" spans="1:2" x14ac:dyDescent="0.2">
      <c r="A317" s="9"/>
      <c r="B317" s="9"/>
    </row>
    <row r="318" spans="1:2" x14ac:dyDescent="0.2">
      <c r="A318" s="9"/>
      <c r="B318" s="9"/>
    </row>
    <row r="319" spans="1:2" x14ac:dyDescent="0.2">
      <c r="A319" s="9"/>
      <c r="B319" s="9"/>
    </row>
    <row r="320" spans="1:2" x14ac:dyDescent="0.2">
      <c r="A320" s="9"/>
      <c r="B320" s="9"/>
    </row>
    <row r="321" spans="1:2" x14ac:dyDescent="0.2">
      <c r="A321" s="9"/>
      <c r="B321" s="9"/>
    </row>
    <row r="322" spans="1:2" x14ac:dyDescent="0.2">
      <c r="A322" s="9"/>
      <c r="B322" s="9"/>
    </row>
    <row r="323" spans="1:2" x14ac:dyDescent="0.2">
      <c r="A323" s="9"/>
      <c r="B323" s="9"/>
    </row>
    <row r="324" spans="1:2" x14ac:dyDescent="0.2">
      <c r="A324" s="9"/>
      <c r="B324" s="9"/>
    </row>
    <row r="325" spans="1:2" x14ac:dyDescent="0.2">
      <c r="A325" s="9"/>
      <c r="B325" s="9"/>
    </row>
    <row r="326" spans="1:2" x14ac:dyDescent="0.2">
      <c r="A326" s="9"/>
      <c r="B326" s="9"/>
    </row>
    <row r="327" spans="1:2" x14ac:dyDescent="0.2">
      <c r="A327" s="9"/>
      <c r="B327" s="9"/>
    </row>
    <row r="328" spans="1:2" x14ac:dyDescent="0.2">
      <c r="A328" s="9"/>
      <c r="B328" s="9"/>
    </row>
    <row r="329" spans="1:2" x14ac:dyDescent="0.2">
      <c r="A329" s="9"/>
      <c r="B329" s="9"/>
    </row>
    <row r="330" spans="1:2" x14ac:dyDescent="0.2">
      <c r="A330" s="9"/>
      <c r="B330" s="9"/>
    </row>
    <row r="331" spans="1:2" x14ac:dyDescent="0.2">
      <c r="A331" s="9"/>
      <c r="B331" s="9"/>
    </row>
    <row r="332" spans="1:2" x14ac:dyDescent="0.2">
      <c r="A332" s="9"/>
      <c r="B332" s="9"/>
    </row>
    <row r="333" spans="1:2" x14ac:dyDescent="0.2">
      <c r="A333" s="9"/>
      <c r="B333" s="9"/>
    </row>
    <row r="334" spans="1:2" x14ac:dyDescent="0.2">
      <c r="A334" s="9"/>
      <c r="B334" s="9"/>
    </row>
    <row r="335" spans="1:2" x14ac:dyDescent="0.2">
      <c r="A335" s="9"/>
      <c r="B335" s="9"/>
    </row>
    <row r="336" spans="1:2" x14ac:dyDescent="0.2">
      <c r="A336" s="9"/>
      <c r="B336" s="9"/>
    </row>
    <row r="337" spans="1:2" x14ac:dyDescent="0.2">
      <c r="A337" s="9"/>
      <c r="B337" s="9"/>
    </row>
    <row r="338" spans="1:2" x14ac:dyDescent="0.2">
      <c r="A338" s="9"/>
      <c r="B338" s="9"/>
    </row>
    <row r="339" spans="1:2" x14ac:dyDescent="0.2">
      <c r="A339" s="9"/>
      <c r="B339" s="9"/>
    </row>
    <row r="340" spans="1:2" x14ac:dyDescent="0.2">
      <c r="A340" s="9"/>
      <c r="B340" s="9"/>
    </row>
    <row r="341" spans="1:2" x14ac:dyDescent="0.2">
      <c r="A341" s="9"/>
      <c r="B341" s="9"/>
    </row>
    <row r="342" spans="1:2" x14ac:dyDescent="0.2">
      <c r="A342" s="9"/>
      <c r="B342" s="9"/>
    </row>
    <row r="343" spans="1:2" x14ac:dyDescent="0.2">
      <c r="A343" s="9"/>
      <c r="B343" s="9"/>
    </row>
    <row r="344" spans="1:2" x14ac:dyDescent="0.2">
      <c r="A344" s="9"/>
      <c r="B344" s="9"/>
    </row>
    <row r="345" spans="1:2" x14ac:dyDescent="0.2">
      <c r="A345" s="9"/>
      <c r="B345" s="9"/>
    </row>
    <row r="346" spans="1:2" x14ac:dyDescent="0.2">
      <c r="A346" s="9"/>
      <c r="B346" s="9"/>
    </row>
    <row r="347" spans="1:2" x14ac:dyDescent="0.2">
      <c r="A347" s="9"/>
      <c r="B347" s="9"/>
    </row>
    <row r="348" spans="1:2" x14ac:dyDescent="0.2">
      <c r="A348" s="9"/>
      <c r="B348" s="9"/>
    </row>
    <row r="349" spans="1:2" x14ac:dyDescent="0.2">
      <c r="A349" s="9"/>
      <c r="B349" s="9"/>
    </row>
    <row r="350" spans="1:2" x14ac:dyDescent="0.2">
      <c r="A350" s="9"/>
      <c r="B350" s="9"/>
    </row>
    <row r="351" spans="1:2" x14ac:dyDescent="0.2">
      <c r="A351" s="9"/>
      <c r="B351" s="9"/>
    </row>
    <row r="352" spans="1:2" x14ac:dyDescent="0.2">
      <c r="A352" s="9"/>
      <c r="B352" s="9"/>
    </row>
    <row r="353" spans="1:2" x14ac:dyDescent="0.2">
      <c r="A353" s="9"/>
      <c r="B353" s="9"/>
    </row>
    <row r="354" spans="1:2" x14ac:dyDescent="0.2">
      <c r="A354" s="9"/>
      <c r="B354" s="9"/>
    </row>
    <row r="355" spans="1:2" x14ac:dyDescent="0.2">
      <c r="A355" s="9"/>
      <c r="B355" s="9"/>
    </row>
    <row r="356" spans="1:2" x14ac:dyDescent="0.2">
      <c r="A356" s="9"/>
      <c r="B356" s="9"/>
    </row>
    <row r="357" spans="1:2" x14ac:dyDescent="0.2">
      <c r="A357" s="9"/>
      <c r="B357" s="9"/>
    </row>
    <row r="358" spans="1:2" x14ac:dyDescent="0.2">
      <c r="A358" s="9"/>
      <c r="B358" s="9"/>
    </row>
    <row r="359" spans="1:2" x14ac:dyDescent="0.2">
      <c r="A359" s="9"/>
      <c r="B359" s="9"/>
    </row>
    <row r="360" spans="1:2" x14ac:dyDescent="0.2">
      <c r="A360" s="9"/>
      <c r="B360" s="9"/>
    </row>
    <row r="361" spans="1:2" x14ac:dyDescent="0.2">
      <c r="A361" s="9"/>
      <c r="B361" s="9"/>
    </row>
    <row r="362" spans="1:2" x14ac:dyDescent="0.2">
      <c r="A362" s="9"/>
      <c r="B362" s="9"/>
    </row>
    <row r="363" spans="1:2" x14ac:dyDescent="0.2">
      <c r="A363" s="9"/>
      <c r="B363" s="9"/>
    </row>
    <row r="364" spans="1:2" x14ac:dyDescent="0.2">
      <c r="A364" s="9"/>
      <c r="B364" s="9"/>
    </row>
    <row r="365" spans="1:2" x14ac:dyDescent="0.2">
      <c r="A365" s="9"/>
      <c r="B365" s="9"/>
    </row>
    <row r="366" spans="1:2" x14ac:dyDescent="0.2">
      <c r="A366" s="9"/>
      <c r="B366" s="9"/>
    </row>
    <row r="367" spans="1:2" x14ac:dyDescent="0.2">
      <c r="A367" s="9"/>
      <c r="B367" s="9"/>
    </row>
    <row r="368" spans="1:2" x14ac:dyDescent="0.2">
      <c r="A368" s="9"/>
      <c r="B368" s="9"/>
    </row>
    <row r="369" spans="1:2" x14ac:dyDescent="0.2">
      <c r="A369" s="9"/>
      <c r="B369" s="9"/>
    </row>
    <row r="370" spans="1:2" x14ac:dyDescent="0.2">
      <c r="A370" s="9"/>
      <c r="B370" s="9"/>
    </row>
    <row r="371" spans="1:2" x14ac:dyDescent="0.2">
      <c r="A371" s="9"/>
      <c r="B371" s="9"/>
    </row>
    <row r="372" spans="1:2" x14ac:dyDescent="0.2">
      <c r="A372" s="9"/>
      <c r="B372" s="9"/>
    </row>
    <row r="373" spans="1:2" x14ac:dyDescent="0.2">
      <c r="A373" s="9"/>
      <c r="B373" s="9"/>
    </row>
    <row r="374" spans="1:2" x14ac:dyDescent="0.2">
      <c r="A374" s="9"/>
      <c r="B374" s="9"/>
    </row>
    <row r="375" spans="1:2" x14ac:dyDescent="0.2">
      <c r="A375" s="9"/>
      <c r="B375" s="9"/>
    </row>
    <row r="376" spans="1:2" x14ac:dyDescent="0.2">
      <c r="A376" s="9"/>
      <c r="B376" s="9"/>
    </row>
    <row r="377" spans="1:2" x14ac:dyDescent="0.2">
      <c r="A377" s="9"/>
      <c r="B377" s="9"/>
    </row>
  </sheetData>
  <sheetProtection password="CC7C" sheet="1" objects="1" scenarios="1"/>
  <mergeCells count="20">
    <mergeCell ref="R4:T4"/>
    <mergeCell ref="C3:E3"/>
    <mergeCell ref="F3:H3"/>
    <mergeCell ref="I3:K3"/>
    <mergeCell ref="L3:N3"/>
    <mergeCell ref="O3:Q3"/>
    <mergeCell ref="R3:T3"/>
    <mergeCell ref="C4:E4"/>
    <mergeCell ref="F4:H4"/>
    <mergeCell ref="I4:K4"/>
    <mergeCell ref="L4:N4"/>
    <mergeCell ref="O4:Q4"/>
    <mergeCell ref="U4:W4"/>
    <mergeCell ref="X4:Z4"/>
    <mergeCell ref="AA4:AC4"/>
    <mergeCell ref="AD4:AF4"/>
    <mergeCell ref="U3:W3"/>
    <mergeCell ref="X3:Z3"/>
    <mergeCell ref="AA3:AC3"/>
    <mergeCell ref="AD3:AF3"/>
  </mergeCells>
  <conditionalFormatting sqref="D8">
    <cfRule type="cellIs" dxfId="121" priority="420" stopIfTrue="1" operator="notEqual">
      <formula>(C8)</formula>
    </cfRule>
  </conditionalFormatting>
  <conditionalFormatting sqref="D17">
    <cfRule type="cellIs" dxfId="120" priority="419" stopIfTrue="1" operator="notEqual">
      <formula>(C17)</formula>
    </cfRule>
  </conditionalFormatting>
  <conditionalFormatting sqref="G17">
    <cfRule type="cellIs" dxfId="119" priority="417" stopIfTrue="1" operator="notEqual">
      <formula>(F17)</formula>
    </cfRule>
  </conditionalFormatting>
  <conditionalFormatting sqref="J7">
    <cfRule type="cellIs" dxfId="118" priority="416" operator="notEqual">
      <formula>(I7)</formula>
    </cfRule>
  </conditionalFormatting>
  <conditionalFormatting sqref="M7">
    <cfRule type="cellIs" dxfId="117" priority="414" stopIfTrue="1" operator="notEqual">
      <formula>(L7)</formula>
    </cfRule>
  </conditionalFormatting>
  <conditionalFormatting sqref="M17">
    <cfRule type="cellIs" dxfId="116" priority="413" operator="notEqual">
      <formula>(L17)</formula>
    </cfRule>
  </conditionalFormatting>
  <conditionalFormatting sqref="P7">
    <cfRule type="cellIs" dxfId="115" priority="412" operator="notEqual">
      <formula>(O7)</formula>
    </cfRule>
  </conditionalFormatting>
  <conditionalFormatting sqref="P17">
    <cfRule type="cellIs" dxfId="114" priority="411" operator="notEqual">
      <formula>(O17)</formula>
    </cfRule>
  </conditionalFormatting>
  <conditionalFormatting sqref="V7">
    <cfRule type="cellIs" dxfId="113" priority="410" operator="notEqual">
      <formula>(U7)</formula>
    </cfRule>
  </conditionalFormatting>
  <conditionalFormatting sqref="U17">
    <cfRule type="cellIs" dxfId="112" priority="409" stopIfTrue="1" operator="notEqual">
      <formula>(T17)</formula>
    </cfRule>
  </conditionalFormatting>
  <conditionalFormatting sqref="Y17">
    <cfRule type="cellIs" dxfId="111" priority="407" operator="notEqual">
      <formula>(X17)</formula>
    </cfRule>
  </conditionalFormatting>
  <conditionalFormatting sqref="AB7">
    <cfRule type="cellIs" dxfId="110" priority="406" operator="notEqual">
      <formula>(AA7)</formula>
    </cfRule>
  </conditionalFormatting>
  <conditionalFormatting sqref="AB17">
    <cfRule type="cellIs" dxfId="109" priority="405" operator="notEqual">
      <formula>(AA17)</formula>
    </cfRule>
  </conditionalFormatting>
  <conditionalFormatting sqref="AE7">
    <cfRule type="cellIs" dxfId="108" priority="404" operator="notEqual">
      <formula>(AD7)</formula>
    </cfRule>
  </conditionalFormatting>
  <conditionalFormatting sqref="AE17">
    <cfRule type="cellIs" dxfId="107" priority="403" operator="notEqual">
      <formula>(AD17)</formula>
    </cfRule>
  </conditionalFormatting>
  <conditionalFormatting sqref="S7">
    <cfRule type="cellIs" dxfId="106" priority="402" operator="notEqual">
      <formula>(R7)</formula>
    </cfRule>
  </conditionalFormatting>
  <conditionalFormatting sqref="R17">
    <cfRule type="cellIs" dxfId="105" priority="401" stopIfTrue="1" operator="notEqual">
      <formula>(Q17)</formula>
    </cfRule>
  </conditionalFormatting>
  <conditionalFormatting sqref="D23">
    <cfRule type="cellIs" dxfId="104" priority="400" stopIfTrue="1" operator="notEqual">
      <formula>(C23)</formula>
    </cfRule>
  </conditionalFormatting>
  <conditionalFormatting sqref="J23">
    <cfRule type="cellIs" dxfId="103" priority="399" stopIfTrue="1" operator="notEqual">
      <formula>(I23)</formula>
    </cfRule>
  </conditionalFormatting>
  <conditionalFormatting sqref="G23">
    <cfRule type="cellIs" dxfId="102" priority="398" stopIfTrue="1" operator="notEqual">
      <formula>(F23)</formula>
    </cfRule>
  </conditionalFormatting>
  <conditionalFormatting sqref="M23">
    <cfRule type="cellIs" dxfId="101" priority="396" operator="notEqual">
      <formula>(L23)</formula>
    </cfRule>
  </conditionalFormatting>
  <conditionalFormatting sqref="P23">
    <cfRule type="cellIs" dxfId="100" priority="395" operator="notEqual">
      <formula>(O23)</formula>
    </cfRule>
  </conditionalFormatting>
  <conditionalFormatting sqref="S23">
    <cfRule type="cellIs" dxfId="99" priority="394" operator="notEqual">
      <formula>(R23)</formula>
    </cfRule>
  </conditionalFormatting>
  <conditionalFormatting sqref="V23">
    <cfRule type="cellIs" dxfId="98" priority="393" operator="notEqual">
      <formula>(U23)</formula>
    </cfRule>
  </conditionalFormatting>
  <conditionalFormatting sqref="Y23">
    <cfRule type="cellIs" dxfId="97" priority="392" operator="notEqual">
      <formula>(X23)</formula>
    </cfRule>
  </conditionalFormatting>
  <conditionalFormatting sqref="AB23">
    <cfRule type="cellIs" dxfId="96" priority="391" operator="notEqual">
      <formula>(AA23)</formula>
    </cfRule>
  </conditionalFormatting>
  <conditionalFormatting sqref="AE23">
    <cfRule type="cellIs" dxfId="95" priority="390" operator="notEqual">
      <formula>(AD23)</formula>
    </cfRule>
  </conditionalFormatting>
  <conditionalFormatting sqref="D16">
    <cfRule type="cellIs" dxfId="94" priority="389" stopIfTrue="1" operator="notEqual">
      <formula>(C16)</formula>
    </cfRule>
  </conditionalFormatting>
  <conditionalFormatting sqref="G6">
    <cfRule type="cellIs" dxfId="93" priority="387" stopIfTrue="1" operator="notEqual">
      <formula>(F6)</formula>
    </cfRule>
  </conditionalFormatting>
  <conditionalFormatting sqref="G16">
    <cfRule type="cellIs" dxfId="92" priority="363" stopIfTrue="1" operator="notEqual">
      <formula>(F16)</formula>
    </cfRule>
  </conditionalFormatting>
  <conditionalFormatting sqref="J16">
    <cfRule type="cellIs" dxfId="91" priority="385" operator="notEqual">
      <formula>(I16)</formula>
    </cfRule>
  </conditionalFormatting>
  <conditionalFormatting sqref="J6">
    <cfRule type="cellIs" dxfId="90" priority="384" operator="notEqual">
      <formula>(I6)</formula>
    </cfRule>
  </conditionalFormatting>
  <conditionalFormatting sqref="M6">
    <cfRule type="cellIs" dxfId="89" priority="383" operator="notEqual">
      <formula>(L6)</formula>
    </cfRule>
  </conditionalFormatting>
  <conditionalFormatting sqref="M16">
    <cfRule type="cellIs" dxfId="88" priority="382" operator="notEqual">
      <formula>(L16)</formula>
    </cfRule>
  </conditionalFormatting>
  <conditionalFormatting sqref="P16">
    <cfRule type="cellIs" dxfId="87" priority="381" operator="notEqual">
      <formula>(O16)</formula>
    </cfRule>
  </conditionalFormatting>
  <conditionalFormatting sqref="P6">
    <cfRule type="cellIs" dxfId="86" priority="380" operator="notEqual">
      <formula>(O6)</formula>
    </cfRule>
  </conditionalFormatting>
  <conditionalFormatting sqref="S6">
    <cfRule type="cellIs" dxfId="85" priority="379" operator="notEqual">
      <formula>(R6)</formula>
    </cfRule>
  </conditionalFormatting>
  <conditionalFormatting sqref="S16">
    <cfRule type="cellIs" dxfId="84" priority="378" operator="notEqual">
      <formula>(R16)</formula>
    </cfRule>
  </conditionalFormatting>
  <conditionalFormatting sqref="V6">
    <cfRule type="cellIs" dxfId="83" priority="377" operator="notEqual">
      <formula>(U6)</formula>
    </cfRule>
  </conditionalFormatting>
  <conditionalFormatting sqref="V16">
    <cfRule type="cellIs" dxfId="82" priority="376" operator="notEqual">
      <formula>(U16)</formula>
    </cfRule>
  </conditionalFormatting>
  <conditionalFormatting sqref="Y6">
    <cfRule type="cellIs" dxfId="81" priority="375" stopIfTrue="1" operator="notEqual">
      <formula>(X6)</formula>
    </cfRule>
  </conditionalFormatting>
  <conditionalFormatting sqref="Y16">
    <cfRule type="cellIs" dxfId="80" priority="374" operator="notEqual">
      <formula>(X16)</formula>
    </cfRule>
  </conditionalFormatting>
  <conditionalFormatting sqref="AB6">
    <cfRule type="cellIs" dxfId="79" priority="373" operator="notEqual">
      <formula>$AA$6</formula>
    </cfRule>
  </conditionalFormatting>
  <conditionalFormatting sqref="AB16">
    <cfRule type="cellIs" dxfId="78" priority="372" operator="notEqual">
      <formula>(AA16)</formula>
    </cfRule>
  </conditionalFormatting>
  <conditionalFormatting sqref="AE6">
    <cfRule type="cellIs" dxfId="77" priority="371" operator="notEqual">
      <formula>(AD6)</formula>
    </cfRule>
  </conditionalFormatting>
  <conditionalFormatting sqref="AE16">
    <cfRule type="cellIs" dxfId="76" priority="370" operator="notEqual">
      <formula>(AD16)</formula>
    </cfRule>
  </conditionalFormatting>
  <conditionalFormatting sqref="G10">
    <cfRule type="cellIs" dxfId="75" priority="114" stopIfTrue="1" operator="notEqual">
      <formula>$F$10</formula>
    </cfRule>
  </conditionalFormatting>
  <conditionalFormatting sqref="J17">
    <cfRule type="cellIs" dxfId="74" priority="355" operator="notEqual">
      <formula>(I17)</formula>
    </cfRule>
  </conditionalFormatting>
  <conditionalFormatting sqref="J8">
    <cfRule type="cellIs" dxfId="73" priority="356" operator="notEqual">
      <formula>(I8)</formula>
    </cfRule>
  </conditionalFormatting>
  <conditionalFormatting sqref="M8">
    <cfRule type="cellIs" dxfId="72" priority="339" operator="notEqual">
      <formula>(L8)</formula>
    </cfRule>
  </conditionalFormatting>
  <conditionalFormatting sqref="S8">
    <cfRule type="cellIs" dxfId="71" priority="290" operator="notEqual">
      <formula>$R$8</formula>
    </cfRule>
  </conditionalFormatting>
  <conditionalFormatting sqref="V8">
    <cfRule type="cellIs" dxfId="70" priority="258" operator="notEqual">
      <formula>(U8)</formula>
    </cfRule>
  </conditionalFormatting>
  <conditionalFormatting sqref="AB8">
    <cfRule type="cellIs" dxfId="69" priority="179" operator="notEqual">
      <formula>(AA8)</formula>
    </cfRule>
  </conditionalFormatting>
  <conditionalFormatting sqref="AE8">
    <cfRule type="cellIs" dxfId="68" priority="132" operator="notEqual">
      <formula>(AD8)</formula>
    </cfRule>
  </conditionalFormatting>
  <conditionalFormatting sqref="D7">
    <cfRule type="cellIs" dxfId="67" priority="125" operator="notEqual">
      <formula>$C$7</formula>
    </cfRule>
  </conditionalFormatting>
  <conditionalFormatting sqref="D6">
    <cfRule type="cellIs" dxfId="66" priority="124" operator="notEqual">
      <formula>$C$6</formula>
    </cfRule>
  </conditionalFormatting>
  <conditionalFormatting sqref="D9">
    <cfRule type="cellIs" dxfId="65" priority="123" stopIfTrue="1" operator="notEqual">
      <formula>(C9)</formula>
    </cfRule>
  </conditionalFormatting>
  <conditionalFormatting sqref="D10">
    <cfRule type="cellIs" dxfId="64" priority="122" operator="notEqual">
      <formula>$C$10</formula>
    </cfRule>
  </conditionalFormatting>
  <conditionalFormatting sqref="D11">
    <cfRule type="cellIs" dxfId="63" priority="121" operator="notEqual">
      <formula>$C$11</formula>
    </cfRule>
  </conditionalFormatting>
  <conditionalFormatting sqref="D12">
    <cfRule type="cellIs" dxfId="62" priority="120" operator="notEqual">
      <formula>$C$12</formula>
    </cfRule>
  </conditionalFormatting>
  <conditionalFormatting sqref="D18">
    <cfRule type="cellIs" dxfId="61" priority="119" operator="notEqual">
      <formula>$C$18</formula>
    </cfRule>
  </conditionalFormatting>
  <conditionalFormatting sqref="D19">
    <cfRule type="cellIs" dxfId="60" priority="118" operator="notEqual">
      <formula>$C$19</formula>
    </cfRule>
  </conditionalFormatting>
  <conditionalFormatting sqref="G7">
    <cfRule type="cellIs" dxfId="59" priority="116" operator="notEqual">
      <formula>$F$7</formula>
    </cfRule>
  </conditionalFormatting>
  <conditionalFormatting sqref="G11">
    <cfRule type="cellIs" dxfId="58" priority="113" operator="notEqual">
      <formula>$F$11</formula>
    </cfRule>
  </conditionalFormatting>
  <conditionalFormatting sqref="G12">
    <cfRule type="cellIs" dxfId="57" priority="112" operator="notEqual">
      <formula>$F$12</formula>
    </cfRule>
  </conditionalFormatting>
  <conditionalFormatting sqref="G18">
    <cfRule type="cellIs" dxfId="56" priority="111" operator="notEqual">
      <formula>$F$18</formula>
    </cfRule>
  </conditionalFormatting>
  <conditionalFormatting sqref="G19">
    <cfRule type="cellIs" dxfId="55" priority="110" operator="notEqual">
      <formula>$F$19</formula>
    </cfRule>
  </conditionalFormatting>
  <conditionalFormatting sqref="J9">
    <cfRule type="cellIs" dxfId="54" priority="109" operator="notEqual">
      <formula>$I$9</formula>
    </cfRule>
  </conditionalFormatting>
  <conditionalFormatting sqref="J10">
    <cfRule type="cellIs" dxfId="53" priority="108" operator="notEqual">
      <formula>$I$10</formula>
    </cfRule>
  </conditionalFormatting>
  <conditionalFormatting sqref="J11">
    <cfRule type="cellIs" dxfId="52" priority="107" operator="notEqual">
      <formula>$I$11</formula>
    </cfRule>
  </conditionalFormatting>
  <conditionalFormatting sqref="J12">
    <cfRule type="cellIs" dxfId="51" priority="106" operator="notEqual">
      <formula>$I$12</formula>
    </cfRule>
  </conditionalFormatting>
  <conditionalFormatting sqref="J18">
    <cfRule type="cellIs" dxfId="50" priority="105" operator="notEqual">
      <formula>$I$18</formula>
    </cfRule>
  </conditionalFormatting>
  <conditionalFormatting sqref="J19">
    <cfRule type="cellIs" dxfId="49" priority="104" operator="notEqual">
      <formula>$I$19</formula>
    </cfRule>
  </conditionalFormatting>
  <conditionalFormatting sqref="M9">
    <cfRule type="cellIs" dxfId="48" priority="103" operator="notEqual">
      <formula>$L$9</formula>
    </cfRule>
  </conditionalFormatting>
  <conditionalFormatting sqref="M10">
    <cfRule type="cellIs" dxfId="47" priority="102" operator="notEqual">
      <formula>$L$10</formula>
    </cfRule>
  </conditionalFormatting>
  <conditionalFormatting sqref="M11">
    <cfRule type="cellIs" dxfId="46" priority="101" operator="notEqual">
      <formula>$L$11</formula>
    </cfRule>
  </conditionalFormatting>
  <conditionalFormatting sqref="M12">
    <cfRule type="cellIs" dxfId="45" priority="100" operator="notEqual">
      <formula>$L$12</formula>
    </cfRule>
  </conditionalFormatting>
  <conditionalFormatting sqref="M18">
    <cfRule type="cellIs" dxfId="44" priority="99" operator="notEqual">
      <formula>$L$18</formula>
    </cfRule>
  </conditionalFormatting>
  <conditionalFormatting sqref="M19">
    <cfRule type="cellIs" dxfId="43" priority="98" operator="notEqual">
      <formula>$L$19</formula>
    </cfRule>
  </conditionalFormatting>
  <conditionalFormatting sqref="P8">
    <cfRule type="cellIs" dxfId="42" priority="92" operator="notEqual">
      <formula>(O8)</formula>
    </cfRule>
  </conditionalFormatting>
  <conditionalFormatting sqref="P9">
    <cfRule type="cellIs" dxfId="41" priority="91" operator="notEqual">
      <formula>$O$9</formula>
    </cfRule>
  </conditionalFormatting>
  <conditionalFormatting sqref="P10">
    <cfRule type="cellIs" dxfId="40" priority="90" operator="notEqual">
      <formula>$O$10</formula>
    </cfRule>
  </conditionalFormatting>
  <conditionalFormatting sqref="P11">
    <cfRule type="cellIs" dxfId="39" priority="89" operator="notEqual">
      <formula>$O$11</formula>
    </cfRule>
  </conditionalFormatting>
  <conditionalFormatting sqref="P18">
    <cfRule type="cellIs" dxfId="38" priority="87" operator="notEqual">
      <formula>$O$18</formula>
    </cfRule>
  </conditionalFormatting>
  <conditionalFormatting sqref="P19">
    <cfRule type="cellIs" dxfId="37" priority="86" operator="notEqual">
      <formula>$O$19</formula>
    </cfRule>
  </conditionalFormatting>
  <conditionalFormatting sqref="S9">
    <cfRule type="cellIs" dxfId="36" priority="79" operator="notEqual">
      <formula>$R$9</formula>
    </cfRule>
  </conditionalFormatting>
  <conditionalFormatting sqref="S10">
    <cfRule type="cellIs" dxfId="35" priority="78" operator="notEqual">
      <formula>$R$10</formula>
    </cfRule>
  </conditionalFormatting>
  <conditionalFormatting sqref="S11">
    <cfRule type="cellIs" dxfId="34" priority="77" operator="notEqual">
      <formula>$R$11</formula>
    </cfRule>
  </conditionalFormatting>
  <conditionalFormatting sqref="S12">
    <cfRule type="cellIs" dxfId="33" priority="76" operator="notEqual">
      <formula>$R$12</formula>
    </cfRule>
  </conditionalFormatting>
  <conditionalFormatting sqref="S18">
    <cfRule type="cellIs" dxfId="32" priority="75" operator="notEqual">
      <formula>$R$18</formula>
    </cfRule>
  </conditionalFormatting>
  <conditionalFormatting sqref="S19">
    <cfRule type="cellIs" dxfId="31" priority="74" operator="notEqual">
      <formula>$R$19</formula>
    </cfRule>
  </conditionalFormatting>
  <conditionalFormatting sqref="V9 Y9">
    <cfRule type="cellIs" dxfId="30" priority="68" operator="notEqual">
      <formula>$U$9</formula>
    </cfRule>
  </conditionalFormatting>
  <conditionalFormatting sqref="V10">
    <cfRule type="cellIs" dxfId="29" priority="67" operator="notEqual">
      <formula>$U$10</formula>
    </cfRule>
  </conditionalFormatting>
  <conditionalFormatting sqref="V11">
    <cfRule type="cellIs" dxfId="28" priority="66" operator="notEqual">
      <formula>$U$11</formula>
    </cfRule>
  </conditionalFormatting>
  <conditionalFormatting sqref="V12">
    <cfRule type="cellIs" dxfId="27" priority="65" operator="notEqual">
      <formula>$U$12</formula>
    </cfRule>
  </conditionalFormatting>
  <conditionalFormatting sqref="V18">
    <cfRule type="cellIs" dxfId="26" priority="64" operator="notEqual">
      <formula>$U$18</formula>
    </cfRule>
  </conditionalFormatting>
  <conditionalFormatting sqref="V19">
    <cfRule type="cellIs" dxfId="25" priority="63" operator="notEqual">
      <formula>$U$19</formula>
    </cfRule>
  </conditionalFormatting>
  <conditionalFormatting sqref="V17">
    <cfRule type="cellIs" dxfId="24" priority="62" operator="notEqual">
      <formula>$U$17</formula>
    </cfRule>
  </conditionalFormatting>
  <conditionalFormatting sqref="Y10">
    <cfRule type="cellIs" dxfId="23" priority="55" operator="notEqual">
      <formula>$X$10</formula>
    </cfRule>
  </conditionalFormatting>
  <conditionalFormatting sqref="Y11">
    <cfRule type="cellIs" dxfId="22" priority="54" operator="notEqual">
      <formula>$X$11</formula>
    </cfRule>
  </conditionalFormatting>
  <conditionalFormatting sqref="Y12">
    <cfRule type="cellIs" dxfId="21" priority="53" operator="notEqual">
      <formula>$X$12</formula>
    </cfRule>
  </conditionalFormatting>
  <conditionalFormatting sqref="Y18">
    <cfRule type="cellIs" dxfId="20" priority="52" operator="notEqual">
      <formula>$X$18</formula>
    </cfRule>
  </conditionalFormatting>
  <conditionalFormatting sqref="Y19">
    <cfRule type="cellIs" dxfId="19" priority="51" operator="notEqual">
      <formula>$X$19</formula>
    </cfRule>
  </conditionalFormatting>
  <conditionalFormatting sqref="Y8">
    <cfRule type="cellIs" dxfId="18" priority="47" operator="notEqual">
      <formula>$X$8</formula>
    </cfRule>
  </conditionalFormatting>
  <conditionalFormatting sqref="Y7">
    <cfRule type="cellIs" dxfId="17" priority="48" operator="notEqual">
      <formula>$X$7</formula>
    </cfRule>
  </conditionalFormatting>
  <conditionalFormatting sqref="AB9">
    <cfRule type="cellIs" dxfId="16" priority="42" operator="notEqual">
      <formula>$AA$9</formula>
    </cfRule>
  </conditionalFormatting>
  <conditionalFormatting sqref="AB10">
    <cfRule type="cellIs" dxfId="15" priority="41" operator="notEqual">
      <formula>$AA$10</formula>
    </cfRule>
  </conditionalFormatting>
  <conditionalFormatting sqref="AB11">
    <cfRule type="cellIs" dxfId="14" priority="40" operator="notEqual">
      <formula>$AA$11</formula>
    </cfRule>
  </conditionalFormatting>
  <conditionalFormatting sqref="AB12">
    <cfRule type="cellIs" dxfId="13" priority="39" operator="notEqual">
      <formula>$AA$12</formula>
    </cfRule>
  </conditionalFormatting>
  <conditionalFormatting sqref="AB18">
    <cfRule type="cellIs" dxfId="12" priority="38" operator="notEqual">
      <formula>$AA$18</formula>
    </cfRule>
  </conditionalFormatting>
  <conditionalFormatting sqref="AB19">
    <cfRule type="cellIs" dxfId="11" priority="37" operator="notEqual">
      <formula>$AA$19</formula>
    </cfRule>
  </conditionalFormatting>
  <conditionalFormatting sqref="AE9">
    <cfRule type="cellIs" dxfId="10" priority="27" operator="notEqual">
      <formula>$AD$9</formula>
    </cfRule>
  </conditionalFormatting>
  <conditionalFormatting sqref="AE10">
    <cfRule type="cellIs" dxfId="9" priority="26" operator="notEqual">
      <formula>$AD$10</formula>
    </cfRule>
  </conditionalFormatting>
  <conditionalFormatting sqref="AE11">
    <cfRule type="cellIs" dxfId="8" priority="25" operator="notEqual">
      <formula>$AD$11</formula>
    </cfRule>
  </conditionalFormatting>
  <conditionalFormatting sqref="AE12">
    <cfRule type="cellIs" dxfId="7" priority="24" operator="notEqual">
      <formula>$AD$12</formula>
    </cfRule>
  </conditionalFormatting>
  <conditionalFormatting sqref="AE18">
    <cfRule type="cellIs" dxfId="6" priority="23" operator="notEqual">
      <formula>$AD$18</formula>
    </cfRule>
  </conditionalFormatting>
  <conditionalFormatting sqref="AE19">
    <cfRule type="cellIs" dxfId="5" priority="22" operator="notEqual">
      <formula>$AD$19</formula>
    </cfRule>
  </conditionalFormatting>
  <conditionalFormatting sqref="G8">
    <cfRule type="cellIs" dxfId="4" priority="21" operator="notEqual">
      <formula>$F$8</formula>
    </cfRule>
  </conditionalFormatting>
  <conditionalFormatting sqref="G9">
    <cfRule type="cellIs" dxfId="3" priority="20" operator="notEqual">
      <formula>$F$9</formula>
    </cfRule>
  </conditionalFormatting>
  <conditionalFormatting sqref="S17">
    <cfRule type="cellIs" dxfId="2" priority="5" operator="notEqual">
      <formula>$R$17</formula>
    </cfRule>
  </conditionalFormatting>
  <conditionalFormatting sqref="AE8:AE12">
    <cfRule type="cellIs" dxfId="1" priority="3" operator="notEqual">
      <formula>(AD8)</formula>
    </cfRule>
  </conditionalFormatting>
  <conditionalFormatting sqref="AE8:AE12">
    <cfRule type="cellIs" dxfId="0" priority="2" operator="notEqual">
      <formula>(AD8)</formula>
    </cfRule>
  </conditionalFormatting>
  <conditionalFormatting sqref="P12">
    <cfRule type="cellIs" priority="1" operator="notEqual">
      <formula>$O$12</formula>
    </cfRule>
  </conditionalFormatting>
  <pageMargins left="0.5" right="0.5" top="0.65" bottom="0.65" header="0.3" footer="0.26"/>
  <pageSetup scale="99" fitToHeight="0" orientation="landscape" cellComments="asDisplayed" r:id="rId1"/>
  <headerFooter alignWithMargins="0">
    <oddHeader>&amp;L&amp;10[Agency/Organization Name]
[Project Name]&amp;R&amp;10BUSINESS CASE WORKBOOK 
[Version Number] [Revision Date mm/dd/yy]</oddHeader>
    <oddFooter>&amp;L&amp;10Based on DIR Document 10BC-W2-2&amp;C&amp;10&amp;K000000Page &amp;P of &amp;N&amp;R&amp;10Business Justification</oddFoot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72"/>
  <sheetViews>
    <sheetView zoomScale="75" zoomScaleNormal="75" workbookViewId="0">
      <selection activeCell="A159" sqref="A159"/>
    </sheetView>
  </sheetViews>
  <sheetFormatPr defaultRowHeight="14.25" x14ac:dyDescent="0.2"/>
  <cols>
    <col min="1" max="1" width="47.75" customWidth="1"/>
    <col min="2" max="2" width="21.5" customWidth="1"/>
    <col min="3" max="3" width="35.25" customWidth="1"/>
    <col min="4" max="4" width="12.125" customWidth="1"/>
    <col min="5" max="11" width="11.125" bestFit="1" customWidth="1"/>
  </cols>
  <sheetData>
    <row r="1" spans="1:3" ht="27" customHeight="1" x14ac:dyDescent="0.2">
      <c r="A1" s="5" t="s">
        <v>740</v>
      </c>
    </row>
    <row r="2" spans="1:3" ht="45" x14ac:dyDescent="0.25">
      <c r="A2" s="719" t="s">
        <v>671</v>
      </c>
    </row>
    <row r="3" spans="1:3" x14ac:dyDescent="0.2">
      <c r="A3" s="718"/>
    </row>
    <row r="4" spans="1:3" ht="29.25" x14ac:dyDescent="0.25">
      <c r="A4" s="719" t="s">
        <v>672</v>
      </c>
      <c r="B4" s="718" t="s">
        <v>673</v>
      </c>
    </row>
    <row r="5" spans="1:3" x14ac:dyDescent="0.2">
      <c r="A5" s="718"/>
    </row>
    <row r="6" spans="1:3" x14ac:dyDescent="0.2">
      <c r="A6" s="718" t="s">
        <v>674</v>
      </c>
      <c r="B6">
        <v>15</v>
      </c>
    </row>
    <row r="7" spans="1:3" x14ac:dyDescent="0.2">
      <c r="A7" s="718" t="s">
        <v>675</v>
      </c>
      <c r="B7">
        <v>160</v>
      </c>
    </row>
    <row r="8" spans="1:3" x14ac:dyDescent="0.2">
      <c r="A8" s="718" t="s">
        <v>676</v>
      </c>
      <c r="B8">
        <f>B6*B7</f>
        <v>2400</v>
      </c>
    </row>
    <row r="9" spans="1:3" ht="15" x14ac:dyDescent="0.25">
      <c r="A9" s="720" t="s">
        <v>747</v>
      </c>
    </row>
    <row r="10" spans="1:3" ht="30" x14ac:dyDescent="0.25">
      <c r="A10" s="719" t="s">
        <v>677</v>
      </c>
    </row>
    <row r="11" spans="1:3" ht="15" x14ac:dyDescent="0.25">
      <c r="A11" s="719" t="s">
        <v>678</v>
      </c>
    </row>
    <row r="12" spans="1:3" x14ac:dyDescent="0.2">
      <c r="A12" s="718" t="s">
        <v>679</v>
      </c>
      <c r="B12">
        <v>100</v>
      </c>
      <c r="C12" t="s">
        <v>680</v>
      </c>
    </row>
    <row r="13" spans="1:3" x14ac:dyDescent="0.2">
      <c r="A13" s="718" t="s">
        <v>681</v>
      </c>
      <c r="B13">
        <v>25</v>
      </c>
      <c r="C13" t="s">
        <v>680</v>
      </c>
    </row>
    <row r="14" spans="1:3" x14ac:dyDescent="0.2">
      <c r="A14" s="718" t="s">
        <v>682</v>
      </c>
      <c r="B14">
        <v>33</v>
      </c>
      <c r="C14" t="s">
        <v>680</v>
      </c>
    </row>
    <row r="15" spans="1:3" x14ac:dyDescent="0.2">
      <c r="A15" s="718" t="s">
        <v>683</v>
      </c>
      <c r="B15">
        <v>50</v>
      </c>
      <c r="C15" t="s">
        <v>680</v>
      </c>
    </row>
    <row r="16" spans="1:3" x14ac:dyDescent="0.2">
      <c r="A16" s="718" t="s">
        <v>684</v>
      </c>
      <c r="B16">
        <v>33</v>
      </c>
      <c r="C16" t="s">
        <v>680</v>
      </c>
    </row>
    <row r="17" spans="1:3" ht="11.25" customHeight="1" x14ac:dyDescent="0.2">
      <c r="A17" s="718" t="s">
        <v>685</v>
      </c>
      <c r="B17">
        <v>25</v>
      </c>
      <c r="C17" t="s">
        <v>680</v>
      </c>
    </row>
    <row r="18" spans="1:3" ht="11.25" customHeight="1" x14ac:dyDescent="0.2">
      <c r="A18" s="718" t="s">
        <v>686</v>
      </c>
      <c r="B18">
        <v>75</v>
      </c>
      <c r="C18" t="s">
        <v>680</v>
      </c>
    </row>
    <row r="19" spans="1:3" ht="11.25" customHeight="1" x14ac:dyDescent="0.2">
      <c r="A19" s="718" t="s">
        <v>686</v>
      </c>
      <c r="B19">
        <v>65</v>
      </c>
      <c r="C19" t="s">
        <v>680</v>
      </c>
    </row>
    <row r="20" spans="1:3" ht="11.25" customHeight="1" x14ac:dyDescent="0.2">
      <c r="A20" s="718" t="s">
        <v>686</v>
      </c>
      <c r="B20">
        <v>55</v>
      </c>
      <c r="C20" t="s">
        <v>680</v>
      </c>
    </row>
    <row r="21" spans="1:3" ht="18" customHeight="1" x14ac:dyDescent="0.25">
      <c r="A21" s="719" t="s">
        <v>687</v>
      </c>
    </row>
    <row r="22" spans="1:3" ht="11.25" customHeight="1" x14ac:dyDescent="0.2">
      <c r="A22" s="718" t="s">
        <v>688</v>
      </c>
      <c r="B22">
        <v>75</v>
      </c>
      <c r="C22" t="s">
        <v>680</v>
      </c>
    </row>
    <row r="23" spans="1:3" ht="11.25" customHeight="1" x14ac:dyDescent="0.2">
      <c r="A23" s="718" t="s">
        <v>689</v>
      </c>
      <c r="B23">
        <v>75</v>
      </c>
      <c r="C23" t="s">
        <v>680</v>
      </c>
    </row>
    <row r="24" spans="1:3" ht="11.25" customHeight="1" x14ac:dyDescent="0.2">
      <c r="A24" s="718" t="s">
        <v>679</v>
      </c>
      <c r="B24">
        <v>75</v>
      </c>
      <c r="C24" t="s">
        <v>680</v>
      </c>
    </row>
    <row r="25" spans="1:3" ht="11.25" customHeight="1" x14ac:dyDescent="0.2">
      <c r="A25" s="718" t="s">
        <v>683</v>
      </c>
      <c r="B25">
        <v>50</v>
      </c>
      <c r="C25" t="s">
        <v>680</v>
      </c>
    </row>
    <row r="26" spans="1:3" ht="11.25" customHeight="1" x14ac:dyDescent="0.2">
      <c r="A26" s="718" t="s">
        <v>690</v>
      </c>
      <c r="B26">
        <v>33</v>
      </c>
      <c r="C26" t="s">
        <v>680</v>
      </c>
    </row>
    <row r="27" spans="1:3" ht="11.25" customHeight="1" x14ac:dyDescent="0.2">
      <c r="A27" s="718" t="s">
        <v>691</v>
      </c>
      <c r="B27">
        <v>50</v>
      </c>
      <c r="C27" t="s">
        <v>680</v>
      </c>
    </row>
    <row r="28" spans="1:3" ht="11.25" customHeight="1" x14ac:dyDescent="0.2">
      <c r="A28" s="718" t="s">
        <v>692</v>
      </c>
      <c r="B28">
        <v>25</v>
      </c>
      <c r="C28" t="s">
        <v>680</v>
      </c>
    </row>
    <row r="29" spans="1:3" ht="11.25" customHeight="1" x14ac:dyDescent="0.2">
      <c r="A29" s="718" t="s">
        <v>693</v>
      </c>
      <c r="B29">
        <v>33</v>
      </c>
      <c r="C29" t="s">
        <v>680</v>
      </c>
    </row>
    <row r="30" spans="1:3" ht="11.25" customHeight="1" x14ac:dyDescent="0.2">
      <c r="A30" s="718" t="s">
        <v>685</v>
      </c>
      <c r="B30">
        <v>50</v>
      </c>
      <c r="C30" t="s">
        <v>680</v>
      </c>
    </row>
    <row r="31" spans="1:3" ht="11.25" customHeight="1" x14ac:dyDescent="0.2">
      <c r="A31" s="718"/>
    </row>
    <row r="32" spans="1:3" ht="18" customHeight="1" x14ac:dyDescent="0.25">
      <c r="A32" s="719" t="s">
        <v>694</v>
      </c>
    </row>
    <row r="33" spans="1:2" ht="22.5" customHeight="1" x14ac:dyDescent="0.25">
      <c r="A33" s="719" t="s">
        <v>678</v>
      </c>
    </row>
    <row r="34" spans="1:2" ht="11.25" customHeight="1" x14ac:dyDescent="0.2">
      <c r="A34" s="718" t="s">
        <v>679</v>
      </c>
      <c r="B34" s="715">
        <v>42</v>
      </c>
    </row>
    <row r="35" spans="1:2" ht="11.25" customHeight="1" x14ac:dyDescent="0.2">
      <c r="A35" s="718" t="s">
        <v>681</v>
      </c>
      <c r="B35" s="715">
        <v>40</v>
      </c>
    </row>
    <row r="36" spans="1:2" ht="11.25" customHeight="1" x14ac:dyDescent="0.2">
      <c r="A36" s="718" t="s">
        <v>682</v>
      </c>
      <c r="B36" s="715">
        <v>40</v>
      </c>
    </row>
    <row r="37" spans="1:2" x14ac:dyDescent="0.2">
      <c r="A37" s="718" t="s">
        <v>683</v>
      </c>
      <c r="B37" s="715">
        <v>35</v>
      </c>
    </row>
    <row r="38" spans="1:2" x14ac:dyDescent="0.2">
      <c r="A38" s="718" t="s">
        <v>684</v>
      </c>
      <c r="B38" s="715">
        <v>40</v>
      </c>
    </row>
    <row r="39" spans="1:2" x14ac:dyDescent="0.2">
      <c r="A39" s="718" t="s">
        <v>685</v>
      </c>
      <c r="B39" s="715">
        <v>37</v>
      </c>
    </row>
    <row r="40" spans="1:2" x14ac:dyDescent="0.2">
      <c r="A40" s="718" t="s">
        <v>686</v>
      </c>
      <c r="B40" s="715">
        <v>35</v>
      </c>
    </row>
    <row r="41" spans="1:2" x14ac:dyDescent="0.2">
      <c r="A41" s="718" t="s">
        <v>686</v>
      </c>
      <c r="B41" s="715">
        <v>36</v>
      </c>
    </row>
    <row r="42" spans="1:2" x14ac:dyDescent="0.2">
      <c r="A42" s="718" t="s">
        <v>686</v>
      </c>
      <c r="B42" s="715">
        <v>45</v>
      </c>
    </row>
    <row r="43" spans="1:2" ht="15" x14ac:dyDescent="0.25">
      <c r="A43" s="719" t="s">
        <v>687</v>
      </c>
      <c r="B43" s="715"/>
    </row>
    <row r="44" spans="1:2" x14ac:dyDescent="0.2">
      <c r="A44" s="718" t="s">
        <v>688</v>
      </c>
      <c r="B44" s="715">
        <v>110</v>
      </c>
    </row>
    <row r="45" spans="1:2" x14ac:dyDescent="0.2">
      <c r="A45" s="718" t="s">
        <v>689</v>
      </c>
      <c r="B45" s="715">
        <v>120</v>
      </c>
    </row>
    <row r="46" spans="1:2" x14ac:dyDescent="0.2">
      <c r="A46" s="718" t="s">
        <v>679</v>
      </c>
      <c r="B46" s="715">
        <v>150</v>
      </c>
    </row>
    <row r="47" spans="1:2" x14ac:dyDescent="0.2">
      <c r="A47" s="718" t="s">
        <v>683</v>
      </c>
      <c r="B47" s="715">
        <v>55</v>
      </c>
    </row>
    <row r="48" spans="1:2" x14ac:dyDescent="0.2">
      <c r="A48" s="718" t="s">
        <v>690</v>
      </c>
      <c r="B48" s="715">
        <v>120</v>
      </c>
    </row>
    <row r="49" spans="1:2" x14ac:dyDescent="0.2">
      <c r="A49" s="718" t="s">
        <v>691</v>
      </c>
      <c r="B49" s="715">
        <v>110</v>
      </c>
    </row>
    <row r="50" spans="1:2" ht="28.5" x14ac:dyDescent="0.2">
      <c r="A50" s="718" t="s">
        <v>692</v>
      </c>
      <c r="B50" s="715">
        <v>110</v>
      </c>
    </row>
    <row r="51" spans="1:2" x14ac:dyDescent="0.2">
      <c r="A51" s="718" t="s">
        <v>693</v>
      </c>
      <c r="B51" s="715">
        <v>110</v>
      </c>
    </row>
    <row r="52" spans="1:2" x14ac:dyDescent="0.2">
      <c r="A52" s="718" t="s">
        <v>685</v>
      </c>
      <c r="B52" s="715">
        <v>120</v>
      </c>
    </row>
    <row r="53" spans="1:2" x14ac:dyDescent="0.2">
      <c r="A53" s="718"/>
      <c r="B53" s="715"/>
    </row>
    <row r="54" spans="1:2" ht="30" x14ac:dyDescent="0.25">
      <c r="A54" s="719" t="s">
        <v>728</v>
      </c>
      <c r="B54" s="715"/>
    </row>
    <row r="55" spans="1:2" ht="15" x14ac:dyDescent="0.25">
      <c r="A55" s="719" t="s">
        <v>678</v>
      </c>
      <c r="B55" s="715"/>
    </row>
    <row r="56" spans="1:2" x14ac:dyDescent="0.2">
      <c r="A56" s="718" t="s">
        <v>679</v>
      </c>
      <c r="B56" s="715">
        <f>((B12)/100)*$B$8*B34</f>
        <v>100800</v>
      </c>
    </row>
    <row r="57" spans="1:2" x14ac:dyDescent="0.2">
      <c r="A57" s="718" t="s">
        <v>681</v>
      </c>
      <c r="B57" s="715">
        <f t="shared" ref="B57:B64" si="0">((B13)/100)*$B$8*B35</f>
        <v>24000</v>
      </c>
    </row>
    <row r="58" spans="1:2" x14ac:dyDescent="0.2">
      <c r="A58" s="718" t="s">
        <v>682</v>
      </c>
      <c r="B58" s="715">
        <f t="shared" si="0"/>
        <v>31680</v>
      </c>
    </row>
    <row r="59" spans="1:2" x14ac:dyDescent="0.2">
      <c r="A59" s="718" t="s">
        <v>683</v>
      </c>
      <c r="B59" s="715">
        <f>((B15)/100)*$B$8*B37</f>
        <v>42000</v>
      </c>
    </row>
    <row r="60" spans="1:2" x14ac:dyDescent="0.2">
      <c r="A60" s="718" t="s">
        <v>684</v>
      </c>
      <c r="B60" s="715">
        <f t="shared" si="0"/>
        <v>31680</v>
      </c>
    </row>
    <row r="61" spans="1:2" x14ac:dyDescent="0.2">
      <c r="A61" s="718" t="s">
        <v>685</v>
      </c>
      <c r="B61" s="715">
        <f t="shared" si="0"/>
        <v>22200</v>
      </c>
    </row>
    <row r="62" spans="1:2" x14ac:dyDescent="0.2">
      <c r="A62" s="718" t="s">
        <v>686</v>
      </c>
      <c r="B62" s="715">
        <f t="shared" si="0"/>
        <v>63000</v>
      </c>
    </row>
    <row r="63" spans="1:2" x14ac:dyDescent="0.2">
      <c r="A63" s="718" t="s">
        <v>686</v>
      </c>
      <c r="B63" s="715">
        <f t="shared" si="0"/>
        <v>56160</v>
      </c>
    </row>
    <row r="64" spans="1:2" x14ac:dyDescent="0.2">
      <c r="A64" s="718" t="s">
        <v>686</v>
      </c>
      <c r="B64" s="715">
        <f t="shared" si="0"/>
        <v>59400</v>
      </c>
    </row>
    <row r="65" spans="1:4" ht="15" x14ac:dyDescent="0.25">
      <c r="A65" s="719" t="s">
        <v>687</v>
      </c>
      <c r="B65" s="715"/>
    </row>
    <row r="66" spans="1:4" x14ac:dyDescent="0.2">
      <c r="A66" s="718" t="s">
        <v>688</v>
      </c>
      <c r="B66" s="715">
        <f>$B$8*(B22/100)*B44</f>
        <v>198000</v>
      </c>
    </row>
    <row r="67" spans="1:4" x14ac:dyDescent="0.2">
      <c r="A67" s="718" t="s">
        <v>689</v>
      </c>
      <c r="B67" s="715">
        <f t="shared" ref="B67:B74" si="1">$B$8*(B23/100)*B45</f>
        <v>216000</v>
      </c>
    </row>
    <row r="68" spans="1:4" x14ac:dyDescent="0.2">
      <c r="A68" s="718" t="s">
        <v>679</v>
      </c>
      <c r="B68" s="715">
        <f t="shared" si="1"/>
        <v>270000</v>
      </c>
    </row>
    <row r="69" spans="1:4" x14ac:dyDescent="0.2">
      <c r="A69" s="718" t="s">
        <v>683</v>
      </c>
      <c r="B69" s="715">
        <f t="shared" si="1"/>
        <v>66000</v>
      </c>
    </row>
    <row r="70" spans="1:4" x14ac:dyDescent="0.2">
      <c r="A70" s="718" t="s">
        <v>695</v>
      </c>
      <c r="B70" s="715">
        <f t="shared" si="1"/>
        <v>95040</v>
      </c>
    </row>
    <row r="71" spans="1:4" x14ac:dyDescent="0.2">
      <c r="A71" s="718" t="s">
        <v>691</v>
      </c>
      <c r="B71" s="715">
        <f t="shared" si="1"/>
        <v>132000</v>
      </c>
    </row>
    <row r="72" spans="1:4" ht="28.5" x14ac:dyDescent="0.2">
      <c r="A72" s="718" t="s">
        <v>692</v>
      </c>
      <c r="B72" s="715">
        <f t="shared" si="1"/>
        <v>66000</v>
      </c>
    </row>
    <row r="73" spans="1:4" x14ac:dyDescent="0.2">
      <c r="A73" s="718" t="s">
        <v>693</v>
      </c>
      <c r="B73" s="715">
        <f t="shared" si="1"/>
        <v>87120</v>
      </c>
    </row>
    <row r="74" spans="1:4" x14ac:dyDescent="0.2">
      <c r="A74" s="718" t="s">
        <v>685</v>
      </c>
      <c r="B74" s="715">
        <f t="shared" si="1"/>
        <v>144000</v>
      </c>
    </row>
    <row r="75" spans="1:4" ht="30" x14ac:dyDescent="0.25">
      <c r="A75" s="719" t="s">
        <v>728</v>
      </c>
      <c r="B75" s="716">
        <f>SUM(B56:B74)</f>
        <v>1705080</v>
      </c>
    </row>
    <row r="76" spans="1:4" ht="15" x14ac:dyDescent="0.25">
      <c r="A76" s="718"/>
      <c r="B76" s="714" t="s">
        <v>696</v>
      </c>
      <c r="C76" s="714" t="s">
        <v>697</v>
      </c>
    </row>
    <row r="77" spans="1:4" ht="15" x14ac:dyDescent="0.25">
      <c r="A77" s="719" t="s">
        <v>729</v>
      </c>
    </row>
    <row r="78" spans="1:4" ht="15" x14ac:dyDescent="0.25">
      <c r="A78" s="719" t="s">
        <v>678</v>
      </c>
    </row>
    <row r="79" spans="1:4" x14ac:dyDescent="0.2">
      <c r="A79" s="718" t="s">
        <v>251</v>
      </c>
      <c r="B79" s="715">
        <f>B56*(8/15)</f>
        <v>53760</v>
      </c>
      <c r="C79" s="715">
        <f>B56-B79</f>
        <v>47040</v>
      </c>
      <c r="D79" s="715"/>
    </row>
    <row r="80" spans="1:4" x14ac:dyDescent="0.2">
      <c r="A80" s="718" t="s">
        <v>244</v>
      </c>
      <c r="B80" s="715"/>
      <c r="C80" s="715"/>
      <c r="D80" s="715"/>
    </row>
    <row r="81" spans="1:4" x14ac:dyDescent="0.2">
      <c r="A81" s="718" t="s">
        <v>256</v>
      </c>
      <c r="B81" s="715">
        <f>(B59*0.6)+(0.6*B62)+(0.6*B63)+(0.6*B64)</f>
        <v>132336</v>
      </c>
      <c r="C81" s="715"/>
      <c r="D81" s="715"/>
    </row>
    <row r="82" spans="1:4" x14ac:dyDescent="0.2">
      <c r="A82" s="718" t="s">
        <v>257</v>
      </c>
      <c r="B82" s="715"/>
      <c r="C82" s="715"/>
      <c r="D82" s="715"/>
    </row>
    <row r="83" spans="1:4" x14ac:dyDescent="0.2">
      <c r="A83" s="718" t="s">
        <v>258</v>
      </c>
      <c r="B83" s="715">
        <f>B60</f>
        <v>31680</v>
      </c>
      <c r="C83" s="715"/>
      <c r="D83" s="715"/>
    </row>
    <row r="84" spans="1:4" x14ac:dyDescent="0.2">
      <c r="A84" s="718" t="s">
        <v>252</v>
      </c>
      <c r="B84" s="715"/>
      <c r="C84" s="715"/>
      <c r="D84" s="715"/>
    </row>
    <row r="85" spans="1:4" x14ac:dyDescent="0.2">
      <c r="A85" s="718" t="s">
        <v>245</v>
      </c>
      <c r="B85" s="715"/>
      <c r="C85" s="715"/>
      <c r="D85" s="715"/>
    </row>
    <row r="86" spans="1:4" x14ac:dyDescent="0.2">
      <c r="A86" s="718" t="s">
        <v>253</v>
      </c>
      <c r="B86" s="715"/>
      <c r="C86" s="715"/>
      <c r="D86" s="715"/>
    </row>
    <row r="87" spans="1:4" x14ac:dyDescent="0.2">
      <c r="A87" s="718" t="s">
        <v>37</v>
      </c>
      <c r="B87" s="715"/>
      <c r="C87" s="715"/>
      <c r="D87" s="715"/>
    </row>
    <row r="88" spans="1:4" x14ac:dyDescent="0.2">
      <c r="A88" s="718" t="s">
        <v>246</v>
      </c>
      <c r="B88" s="715">
        <f>B61</f>
        <v>22200</v>
      </c>
      <c r="C88" s="715"/>
      <c r="D88" s="715"/>
    </row>
    <row r="89" spans="1:4" x14ac:dyDescent="0.2">
      <c r="A89" s="718" t="s">
        <v>247</v>
      </c>
      <c r="B89" s="715">
        <f>B57</f>
        <v>24000</v>
      </c>
      <c r="C89" s="715"/>
      <c r="D89" s="715"/>
    </row>
    <row r="90" spans="1:4" x14ac:dyDescent="0.2">
      <c r="A90" s="718" t="s">
        <v>248</v>
      </c>
      <c r="B90" s="715">
        <f>B58</f>
        <v>31680</v>
      </c>
      <c r="C90" s="715"/>
      <c r="D90" s="715"/>
    </row>
    <row r="91" spans="1:4" x14ac:dyDescent="0.2">
      <c r="A91" s="718" t="s">
        <v>254</v>
      </c>
      <c r="B91" s="715"/>
      <c r="C91" s="715"/>
      <c r="D91" s="715"/>
    </row>
    <row r="92" spans="1:4" x14ac:dyDescent="0.2">
      <c r="A92" s="718" t="s">
        <v>249</v>
      </c>
      <c r="B92" s="715"/>
      <c r="C92" s="715"/>
      <c r="D92" s="715"/>
    </row>
    <row r="93" spans="1:4" x14ac:dyDescent="0.2">
      <c r="A93" s="718" t="s">
        <v>250</v>
      </c>
      <c r="B93" s="715"/>
      <c r="C93" s="715"/>
      <c r="D93" s="715"/>
    </row>
    <row r="94" spans="1:4" x14ac:dyDescent="0.2">
      <c r="A94" s="718" t="s">
        <v>469</v>
      </c>
      <c r="B94" s="715"/>
      <c r="C94" s="715"/>
      <c r="D94" s="715"/>
    </row>
    <row r="95" spans="1:4" x14ac:dyDescent="0.2">
      <c r="A95" s="718" t="s">
        <v>698</v>
      </c>
      <c r="B95" s="715"/>
      <c r="C95" s="715">
        <f>(B59*0.4)+(B62*0.4)+(0.4*B63)+(0.4*B64)</f>
        <v>88224</v>
      </c>
      <c r="D95" s="715"/>
    </row>
    <row r="96" spans="1:4" x14ac:dyDescent="0.2">
      <c r="A96" s="718" t="s">
        <v>460</v>
      </c>
      <c r="B96" s="715"/>
      <c r="C96" s="715"/>
      <c r="D96" s="715"/>
    </row>
    <row r="97" spans="1:4" x14ac:dyDescent="0.2">
      <c r="A97" s="718" t="s">
        <v>460</v>
      </c>
      <c r="B97" s="715"/>
      <c r="C97" s="715"/>
      <c r="D97" s="715"/>
    </row>
    <row r="98" spans="1:4" ht="15" x14ac:dyDescent="0.25">
      <c r="A98" s="719" t="s">
        <v>687</v>
      </c>
      <c r="B98" s="715"/>
      <c r="C98" s="715"/>
      <c r="D98" s="715"/>
    </row>
    <row r="99" spans="1:4" x14ac:dyDescent="0.2">
      <c r="A99" s="718" t="s">
        <v>251</v>
      </c>
      <c r="B99" s="715">
        <f>B68/2</f>
        <v>135000</v>
      </c>
      <c r="C99" s="715">
        <f>B68-B99</f>
        <v>135000</v>
      </c>
      <c r="D99" s="715"/>
    </row>
    <row r="100" spans="1:4" x14ac:dyDescent="0.2">
      <c r="A100" s="718" t="s">
        <v>244</v>
      </c>
      <c r="B100" s="715"/>
      <c r="C100" s="715"/>
      <c r="D100" s="715"/>
    </row>
    <row r="101" spans="1:4" x14ac:dyDescent="0.2">
      <c r="A101" s="718" t="s">
        <v>256</v>
      </c>
      <c r="B101" s="715">
        <f>B69/2</f>
        <v>33000</v>
      </c>
      <c r="C101" s="715">
        <f>B69-B101</f>
        <v>33000</v>
      </c>
      <c r="D101" s="715"/>
    </row>
    <row r="102" spans="1:4" x14ac:dyDescent="0.2">
      <c r="A102" s="718" t="s">
        <v>257</v>
      </c>
      <c r="B102" s="715">
        <f>B70</f>
        <v>95040</v>
      </c>
      <c r="C102" s="715"/>
      <c r="D102" s="715"/>
    </row>
    <row r="103" spans="1:4" x14ac:dyDescent="0.2">
      <c r="A103" s="718" t="s">
        <v>258</v>
      </c>
      <c r="B103" s="715">
        <f>(B66+B67+B71)/2</f>
        <v>273000</v>
      </c>
      <c r="C103" s="715">
        <f>(B66+B67+B71)/2</f>
        <v>273000</v>
      </c>
      <c r="D103" s="715"/>
    </row>
    <row r="104" spans="1:4" x14ac:dyDescent="0.2">
      <c r="A104" s="718" t="s">
        <v>252</v>
      </c>
      <c r="B104" s="715"/>
      <c r="C104" s="715"/>
      <c r="D104" s="715"/>
    </row>
    <row r="105" spans="1:4" x14ac:dyDescent="0.2">
      <c r="A105" s="718" t="s">
        <v>245</v>
      </c>
      <c r="B105" s="715"/>
      <c r="C105" s="715"/>
      <c r="D105" s="715"/>
    </row>
    <row r="106" spans="1:4" x14ac:dyDescent="0.2">
      <c r="A106" s="718" t="s">
        <v>253</v>
      </c>
      <c r="B106" s="715"/>
      <c r="C106" s="715"/>
      <c r="D106" s="715"/>
    </row>
    <row r="107" spans="1:4" x14ac:dyDescent="0.2">
      <c r="A107" s="718" t="s">
        <v>37</v>
      </c>
      <c r="B107" s="715"/>
      <c r="C107" s="715"/>
      <c r="D107" s="715"/>
    </row>
    <row r="108" spans="1:4" x14ac:dyDescent="0.2">
      <c r="A108" s="718" t="s">
        <v>246</v>
      </c>
      <c r="B108" s="715">
        <f>B74/2</f>
        <v>72000</v>
      </c>
      <c r="C108" s="715">
        <f>B74/2</f>
        <v>72000</v>
      </c>
      <c r="D108" s="715"/>
    </row>
    <row r="109" spans="1:4" x14ac:dyDescent="0.2">
      <c r="A109" s="718" t="s">
        <v>247</v>
      </c>
      <c r="B109" s="715"/>
      <c r="C109" s="715"/>
      <c r="D109" s="715"/>
    </row>
    <row r="110" spans="1:4" x14ac:dyDescent="0.2">
      <c r="A110" s="718" t="s">
        <v>248</v>
      </c>
      <c r="B110" s="715"/>
      <c r="C110" s="715"/>
      <c r="D110" s="715"/>
    </row>
    <row r="111" spans="1:4" x14ac:dyDescent="0.2">
      <c r="A111" s="718" t="s">
        <v>254</v>
      </c>
      <c r="B111" s="715"/>
      <c r="C111" s="715"/>
      <c r="D111" s="715"/>
    </row>
    <row r="112" spans="1:4" x14ac:dyDescent="0.2">
      <c r="A112" s="718" t="s">
        <v>249</v>
      </c>
      <c r="B112" s="715"/>
      <c r="C112" s="715"/>
      <c r="D112" s="715"/>
    </row>
    <row r="113" spans="1:11" x14ac:dyDescent="0.2">
      <c r="A113" s="718" t="s">
        <v>250</v>
      </c>
      <c r="B113" s="715"/>
      <c r="C113" s="715"/>
      <c r="D113" s="715"/>
    </row>
    <row r="114" spans="1:11" x14ac:dyDescent="0.2">
      <c r="A114" s="718" t="s">
        <v>469</v>
      </c>
      <c r="B114" s="715"/>
      <c r="C114" s="715"/>
      <c r="D114" s="715"/>
    </row>
    <row r="115" spans="1:11" x14ac:dyDescent="0.2">
      <c r="A115" s="718" t="s">
        <v>255</v>
      </c>
      <c r="B115" s="715"/>
      <c r="C115" s="715"/>
      <c r="D115" s="715"/>
    </row>
    <row r="116" spans="1:11" x14ac:dyDescent="0.2">
      <c r="A116" s="718" t="s">
        <v>699</v>
      </c>
      <c r="B116" s="715">
        <f>(B72+B73)/2</f>
        <v>76560</v>
      </c>
      <c r="C116" s="715">
        <f>(B72+B73)/2</f>
        <v>76560</v>
      </c>
      <c r="D116" s="715"/>
    </row>
    <row r="117" spans="1:11" x14ac:dyDescent="0.2">
      <c r="A117" s="718" t="s">
        <v>460</v>
      </c>
      <c r="B117" s="715"/>
      <c r="C117" s="715"/>
      <c r="D117" s="715"/>
    </row>
    <row r="118" spans="1:11" x14ac:dyDescent="0.2">
      <c r="A118" s="718" t="s">
        <v>460</v>
      </c>
      <c r="B118" s="715"/>
      <c r="C118" s="715"/>
      <c r="D118" s="715"/>
    </row>
    <row r="119" spans="1:11" ht="15" x14ac:dyDescent="0.25">
      <c r="A119" s="719" t="s">
        <v>88</v>
      </c>
      <c r="B119" s="721">
        <f>SUM(B79:B118)</f>
        <v>980256</v>
      </c>
      <c r="C119" s="721">
        <f>SUM(C79:C118)</f>
        <v>724824</v>
      </c>
      <c r="D119" s="716">
        <f>B119+C119</f>
        <v>1705080</v>
      </c>
    </row>
    <row r="120" spans="1:11" x14ac:dyDescent="0.2">
      <c r="A120" s="718"/>
    </row>
    <row r="121" spans="1:11" x14ac:dyDescent="0.2">
      <c r="A121" s="718"/>
    </row>
    <row r="122" spans="1:11" ht="15" x14ac:dyDescent="0.25">
      <c r="A122" s="718"/>
      <c r="D122" s="714" t="s">
        <v>700</v>
      </c>
      <c r="E122" s="714" t="s">
        <v>701</v>
      </c>
      <c r="F122" s="714" t="s">
        <v>702</v>
      </c>
      <c r="G122" s="714" t="s">
        <v>703</v>
      </c>
      <c r="H122" s="714" t="s">
        <v>704</v>
      </c>
      <c r="I122" s="714" t="s">
        <v>705</v>
      </c>
      <c r="J122" s="714" t="s">
        <v>706</v>
      </c>
      <c r="K122" s="714" t="s">
        <v>707</v>
      </c>
    </row>
    <row r="123" spans="1:11" x14ac:dyDescent="0.2">
      <c r="A123" s="718"/>
    </row>
    <row r="124" spans="1:11" ht="15" x14ac:dyDescent="0.25">
      <c r="A124" s="719" t="s">
        <v>462</v>
      </c>
    </row>
    <row r="125" spans="1:11" x14ac:dyDescent="0.2">
      <c r="A125" s="718" t="s">
        <v>437</v>
      </c>
      <c r="B125" s="718" t="s">
        <v>708</v>
      </c>
      <c r="C125" s="717" t="s">
        <v>730</v>
      </c>
      <c r="D125" s="715">
        <f>2040*35</f>
        <v>71400</v>
      </c>
      <c r="E125" s="715">
        <f t="shared" ref="E125:K125" si="2">2040*35</f>
        <v>71400</v>
      </c>
      <c r="F125" s="715">
        <f t="shared" si="2"/>
        <v>71400</v>
      </c>
      <c r="G125" s="715">
        <f t="shared" si="2"/>
        <v>71400</v>
      </c>
      <c r="H125" s="715">
        <f t="shared" si="2"/>
        <v>71400</v>
      </c>
      <c r="I125" s="715">
        <f t="shared" si="2"/>
        <v>71400</v>
      </c>
      <c r="J125" s="715">
        <f t="shared" si="2"/>
        <v>71400</v>
      </c>
      <c r="K125" s="715">
        <f t="shared" si="2"/>
        <v>71400</v>
      </c>
    </row>
    <row r="126" spans="1:11" x14ac:dyDescent="0.2">
      <c r="A126" s="718" t="s">
        <v>436</v>
      </c>
      <c r="B126" s="718"/>
      <c r="C126" s="718"/>
      <c r="D126" s="715"/>
      <c r="E126" s="715"/>
      <c r="F126" s="715"/>
      <c r="G126" s="715"/>
      <c r="H126" s="715"/>
      <c r="I126" s="715"/>
      <c r="J126" s="715"/>
      <c r="K126" s="715"/>
    </row>
    <row r="127" spans="1:11" x14ac:dyDescent="0.2">
      <c r="A127" s="718"/>
      <c r="B127" s="718"/>
      <c r="C127" s="718"/>
      <c r="D127" s="715"/>
      <c r="E127" s="715"/>
      <c r="F127" s="715"/>
      <c r="G127" s="715"/>
      <c r="H127" s="715"/>
      <c r="I127" s="715"/>
      <c r="J127" s="715"/>
      <c r="K127" s="715"/>
    </row>
    <row r="128" spans="1:11" ht="30" x14ac:dyDescent="0.25">
      <c r="A128" s="719" t="s">
        <v>470</v>
      </c>
      <c r="B128" s="718"/>
      <c r="C128" s="718"/>
      <c r="D128" s="715"/>
      <c r="E128" s="715"/>
      <c r="F128" s="715"/>
      <c r="G128" s="715"/>
      <c r="H128" s="715"/>
      <c r="I128" s="715"/>
      <c r="J128" s="715"/>
      <c r="K128" s="715"/>
    </row>
    <row r="129" spans="1:11" ht="28.5" x14ac:dyDescent="0.2">
      <c r="A129" s="718" t="s">
        <v>437</v>
      </c>
      <c r="B129" s="717" t="s">
        <v>749</v>
      </c>
      <c r="C129" s="717" t="s">
        <v>731</v>
      </c>
      <c r="D129" s="715">
        <f>2040*2*110</f>
        <v>448800</v>
      </c>
      <c r="E129" s="715">
        <f>2040*2*110</f>
        <v>448800</v>
      </c>
      <c r="F129" s="715"/>
      <c r="G129" s="715"/>
      <c r="H129" s="715"/>
      <c r="I129" s="715"/>
      <c r="J129" s="715"/>
      <c r="K129" s="715"/>
    </row>
    <row r="130" spans="1:11" x14ac:dyDescent="0.2">
      <c r="A130" s="718" t="s">
        <v>436</v>
      </c>
      <c r="B130" s="718"/>
      <c r="C130" s="718"/>
      <c r="D130" s="715"/>
      <c r="E130" s="715"/>
      <c r="F130" s="715"/>
      <c r="G130" s="715"/>
      <c r="H130" s="715"/>
      <c r="I130" s="715"/>
      <c r="J130" s="715"/>
      <c r="K130" s="715"/>
    </row>
    <row r="131" spans="1:11" x14ac:dyDescent="0.2">
      <c r="A131" s="718"/>
      <c r="B131" s="718"/>
      <c r="C131" s="718"/>
      <c r="D131" s="715"/>
      <c r="E131" s="715"/>
      <c r="F131" s="715"/>
      <c r="G131" s="715"/>
      <c r="H131" s="715"/>
      <c r="I131" s="715"/>
      <c r="J131" s="715"/>
      <c r="K131" s="715"/>
    </row>
    <row r="132" spans="1:11" ht="15" x14ac:dyDescent="0.25">
      <c r="A132" s="720" t="s">
        <v>709</v>
      </c>
      <c r="B132" s="718"/>
      <c r="C132" s="718"/>
      <c r="D132" s="714" t="s">
        <v>700</v>
      </c>
      <c r="E132" s="714" t="s">
        <v>701</v>
      </c>
      <c r="F132" s="714" t="s">
        <v>702</v>
      </c>
      <c r="G132" s="714" t="s">
        <v>703</v>
      </c>
      <c r="H132" s="714" t="s">
        <v>704</v>
      </c>
      <c r="I132" s="714" t="s">
        <v>705</v>
      </c>
      <c r="J132" s="714" t="s">
        <v>706</v>
      </c>
      <c r="K132" s="714" t="s">
        <v>707</v>
      </c>
    </row>
    <row r="133" spans="1:11" ht="28.5" x14ac:dyDescent="0.2">
      <c r="A133" s="718" t="s">
        <v>296</v>
      </c>
      <c r="B133" s="718"/>
      <c r="C133" s="718"/>
      <c r="D133" s="715"/>
      <c r="E133" s="715"/>
      <c r="F133" s="715"/>
      <c r="G133" s="715"/>
      <c r="H133" s="715"/>
      <c r="I133" s="715"/>
      <c r="J133" s="715"/>
      <c r="K133" s="715"/>
    </row>
    <row r="134" spans="1:11" ht="57" x14ac:dyDescent="0.2">
      <c r="A134" s="718" t="s">
        <v>295</v>
      </c>
      <c r="B134" s="718" t="s">
        <v>710</v>
      </c>
      <c r="C134" s="718"/>
      <c r="D134" s="715">
        <v>2500000</v>
      </c>
      <c r="E134" s="715">
        <v>2500000</v>
      </c>
      <c r="F134" s="715">
        <v>2500000</v>
      </c>
      <c r="G134" s="715">
        <v>2500000</v>
      </c>
      <c r="H134" s="715">
        <v>2500000</v>
      </c>
      <c r="I134" s="715">
        <v>2500000</v>
      </c>
      <c r="J134" s="715">
        <v>2500000</v>
      </c>
      <c r="K134" s="715">
        <v>2500000</v>
      </c>
    </row>
    <row r="135" spans="1:11" x14ac:dyDescent="0.2">
      <c r="A135" s="718" t="s">
        <v>262</v>
      </c>
      <c r="B135" s="718"/>
      <c r="C135" s="718"/>
      <c r="D135" s="715"/>
      <c r="E135" s="715"/>
      <c r="F135" s="715"/>
      <c r="G135" s="715"/>
      <c r="H135" s="715"/>
      <c r="I135" s="715"/>
      <c r="J135" s="715"/>
      <c r="K135" s="715"/>
    </row>
    <row r="136" spans="1:11" x14ac:dyDescent="0.2">
      <c r="A136" s="718" t="s">
        <v>289</v>
      </c>
      <c r="B136" s="718"/>
      <c r="C136" s="718"/>
      <c r="D136" s="715"/>
      <c r="E136" s="715"/>
      <c r="F136" s="715"/>
      <c r="G136" s="715"/>
      <c r="H136" s="715"/>
      <c r="I136" s="715"/>
      <c r="J136" s="715"/>
      <c r="K136" s="715"/>
    </row>
    <row r="137" spans="1:11" ht="85.5" x14ac:dyDescent="0.2">
      <c r="A137" s="718" t="s">
        <v>320</v>
      </c>
      <c r="B137" s="718" t="s">
        <v>711</v>
      </c>
      <c r="C137" s="718" t="s">
        <v>712</v>
      </c>
      <c r="D137" s="715">
        <f>2.92*5000000</f>
        <v>14600000</v>
      </c>
      <c r="E137" s="715">
        <f t="shared" ref="E137:K137" si="3">2.92*5000000</f>
        <v>14600000</v>
      </c>
      <c r="F137" s="715">
        <f t="shared" si="3"/>
        <v>14600000</v>
      </c>
      <c r="G137" s="715">
        <f t="shared" si="3"/>
        <v>14600000</v>
      </c>
      <c r="H137" s="715">
        <f t="shared" si="3"/>
        <v>14600000</v>
      </c>
      <c r="I137" s="715">
        <f t="shared" si="3"/>
        <v>14600000</v>
      </c>
      <c r="J137" s="715">
        <f t="shared" si="3"/>
        <v>14600000</v>
      </c>
      <c r="K137" s="715">
        <f t="shared" si="3"/>
        <v>14600000</v>
      </c>
    </row>
    <row r="138" spans="1:11" x14ac:dyDescent="0.2">
      <c r="A138" s="718" t="s">
        <v>292</v>
      </c>
      <c r="B138" s="718"/>
      <c r="C138" s="718"/>
      <c r="D138" s="715"/>
      <c r="E138" s="715"/>
      <c r="F138" s="715"/>
      <c r="G138" s="715"/>
      <c r="H138" s="715"/>
      <c r="I138" s="715"/>
      <c r="J138" s="715"/>
      <c r="K138" s="715"/>
    </row>
    <row r="139" spans="1:11" x14ac:dyDescent="0.2">
      <c r="A139" s="718" t="s">
        <v>293</v>
      </c>
      <c r="B139" s="718"/>
      <c r="C139" s="718"/>
      <c r="D139" s="715"/>
      <c r="E139" s="715"/>
      <c r="F139" s="715"/>
      <c r="G139" s="715"/>
      <c r="H139" s="715"/>
      <c r="I139" s="715"/>
      <c r="J139" s="715"/>
      <c r="K139" s="715"/>
    </row>
    <row r="140" spans="1:11" x14ac:dyDescent="0.2">
      <c r="A140" s="718" t="s">
        <v>267</v>
      </c>
      <c r="B140" s="718"/>
      <c r="C140" s="718"/>
      <c r="D140" s="715"/>
      <c r="E140" s="715"/>
      <c r="F140" s="715"/>
      <c r="G140" s="715"/>
      <c r="H140" s="715"/>
      <c r="I140" s="715"/>
      <c r="J140" s="715"/>
      <c r="K140" s="715"/>
    </row>
    <row r="141" spans="1:11" ht="28.5" x14ac:dyDescent="0.2">
      <c r="A141" s="718" t="s">
        <v>301</v>
      </c>
      <c r="B141" s="718"/>
      <c r="C141" s="718"/>
      <c r="D141" s="715"/>
      <c r="E141" s="715"/>
      <c r="F141" s="715"/>
      <c r="G141" s="715"/>
      <c r="H141" s="715"/>
      <c r="I141" s="715"/>
      <c r="J141" s="715"/>
      <c r="K141" s="715"/>
    </row>
    <row r="142" spans="1:11" x14ac:dyDescent="0.2">
      <c r="A142" s="718" t="s">
        <v>300</v>
      </c>
      <c r="B142" s="718"/>
      <c r="C142" s="718"/>
      <c r="D142" s="715"/>
      <c r="E142" s="715"/>
      <c r="F142" s="715"/>
      <c r="G142" s="715"/>
      <c r="H142" s="715"/>
      <c r="I142" s="715"/>
      <c r="J142" s="715"/>
      <c r="K142" s="715"/>
    </row>
    <row r="143" spans="1:11" x14ac:dyDescent="0.2">
      <c r="A143" s="718" t="s">
        <v>300</v>
      </c>
      <c r="B143" s="718"/>
      <c r="C143" s="718"/>
      <c r="D143" s="715"/>
      <c r="E143" s="715"/>
      <c r="F143" s="715"/>
      <c r="G143" s="715"/>
      <c r="H143" s="715"/>
      <c r="I143" s="715"/>
      <c r="J143" s="715"/>
      <c r="K143" s="715"/>
    </row>
    <row r="144" spans="1:11" x14ac:dyDescent="0.2">
      <c r="A144" s="718" t="s">
        <v>300</v>
      </c>
      <c r="B144" s="718"/>
      <c r="C144" s="718"/>
      <c r="D144" s="715"/>
      <c r="E144" s="715"/>
      <c r="F144" s="715"/>
      <c r="G144" s="715"/>
      <c r="H144" s="715"/>
      <c r="I144" s="715"/>
      <c r="J144" s="715"/>
      <c r="K144" s="715"/>
    </row>
    <row r="145" spans="1:11" x14ac:dyDescent="0.2">
      <c r="A145" s="718" t="s">
        <v>300</v>
      </c>
      <c r="B145" s="718"/>
      <c r="C145" s="718"/>
      <c r="D145" s="715"/>
      <c r="E145" s="715"/>
      <c r="F145" s="715"/>
      <c r="G145" s="715"/>
      <c r="H145" s="715"/>
      <c r="I145" s="715"/>
      <c r="J145" s="715"/>
      <c r="K145" s="715"/>
    </row>
    <row r="146" spans="1:11" x14ac:dyDescent="0.2">
      <c r="A146" s="718"/>
      <c r="B146" s="718"/>
      <c r="C146" s="718"/>
      <c r="D146" s="715"/>
      <c r="E146" s="715"/>
      <c r="F146" s="715"/>
      <c r="G146" s="715"/>
      <c r="H146" s="715"/>
      <c r="I146" s="715"/>
      <c r="J146" s="715"/>
      <c r="K146" s="715"/>
    </row>
    <row r="147" spans="1:11" x14ac:dyDescent="0.2">
      <c r="A147" s="718" t="s">
        <v>298</v>
      </c>
      <c r="B147" s="718"/>
      <c r="C147" s="718"/>
      <c r="D147" s="715"/>
      <c r="E147" s="715"/>
      <c r="F147" s="715"/>
      <c r="G147" s="715"/>
      <c r="H147" s="715"/>
      <c r="I147" s="715"/>
      <c r="J147" s="715"/>
      <c r="K147" s="715"/>
    </row>
    <row r="148" spans="1:11" x14ac:dyDescent="0.2">
      <c r="A148" s="718" t="s">
        <v>266</v>
      </c>
      <c r="B148" s="718"/>
      <c r="C148" s="718"/>
      <c r="D148" s="715"/>
      <c r="E148" s="715"/>
      <c r="F148" s="715"/>
      <c r="G148" s="715"/>
      <c r="H148" s="715"/>
      <c r="I148" s="715"/>
      <c r="J148" s="715"/>
      <c r="K148" s="715"/>
    </row>
    <row r="149" spans="1:11" x14ac:dyDescent="0.2">
      <c r="A149" s="718" t="s">
        <v>265</v>
      </c>
      <c r="B149" s="718"/>
      <c r="C149" s="718"/>
      <c r="D149" s="715"/>
      <c r="E149" s="715"/>
      <c r="F149" s="715"/>
      <c r="G149" s="715"/>
      <c r="H149" s="715"/>
      <c r="I149" s="715"/>
      <c r="J149" s="715"/>
      <c r="K149" s="715"/>
    </row>
    <row r="150" spans="1:11" x14ac:dyDescent="0.2">
      <c r="A150" s="718" t="s">
        <v>322</v>
      </c>
      <c r="B150" s="718"/>
      <c r="C150" s="718"/>
      <c r="D150" s="715"/>
      <c r="E150" s="715"/>
      <c r="F150" s="715"/>
      <c r="G150" s="715"/>
      <c r="H150" s="715"/>
      <c r="I150" s="715"/>
      <c r="J150" s="715"/>
      <c r="K150" s="715"/>
    </row>
    <row r="151" spans="1:11" x14ac:dyDescent="0.2">
      <c r="A151" s="718" t="s">
        <v>290</v>
      </c>
      <c r="B151" s="718"/>
      <c r="C151" s="718"/>
      <c r="D151" s="715"/>
      <c r="E151" s="715"/>
      <c r="F151" s="715"/>
      <c r="G151" s="715"/>
      <c r="H151" s="715"/>
      <c r="I151" s="715"/>
      <c r="J151" s="715"/>
      <c r="K151" s="715"/>
    </row>
    <row r="152" spans="1:11" x14ac:dyDescent="0.2">
      <c r="A152" s="718" t="s">
        <v>299</v>
      </c>
      <c r="B152" s="718"/>
      <c r="C152" s="718"/>
      <c r="D152" s="715"/>
      <c r="E152" s="715"/>
      <c r="F152" s="715"/>
      <c r="G152" s="715"/>
      <c r="H152" s="715"/>
      <c r="I152" s="715"/>
      <c r="J152" s="715"/>
      <c r="K152" s="715"/>
    </row>
    <row r="153" spans="1:11" x14ac:dyDescent="0.2">
      <c r="A153" s="718" t="s">
        <v>299</v>
      </c>
      <c r="B153" s="718"/>
      <c r="C153" s="718"/>
      <c r="D153" s="715"/>
      <c r="E153" s="715"/>
      <c r="F153" s="715"/>
      <c r="G153" s="715"/>
      <c r="H153" s="715"/>
      <c r="I153" s="715"/>
      <c r="J153" s="715"/>
      <c r="K153" s="715"/>
    </row>
    <row r="154" spans="1:11" x14ac:dyDescent="0.2">
      <c r="A154" s="718" t="s">
        <v>299</v>
      </c>
      <c r="B154" s="718"/>
      <c r="C154" s="718"/>
      <c r="D154" s="715"/>
      <c r="E154" s="715"/>
      <c r="F154" s="715"/>
      <c r="G154" s="715"/>
      <c r="H154" s="715"/>
      <c r="I154" s="715"/>
      <c r="J154" s="715"/>
      <c r="K154" s="715"/>
    </row>
    <row r="155" spans="1:11" x14ac:dyDescent="0.2">
      <c r="A155" s="718" t="s">
        <v>299</v>
      </c>
      <c r="B155" s="718"/>
      <c r="C155" s="718"/>
      <c r="D155" s="715"/>
      <c r="E155" s="715"/>
      <c r="F155" s="715"/>
      <c r="G155" s="715"/>
      <c r="H155" s="715"/>
      <c r="I155" s="715"/>
      <c r="J155" s="715"/>
      <c r="K155" s="715"/>
    </row>
    <row r="156" spans="1:11" x14ac:dyDescent="0.2">
      <c r="A156" s="718"/>
      <c r="B156" s="718"/>
      <c r="C156" s="718"/>
      <c r="D156" s="715"/>
      <c r="E156" s="715"/>
      <c r="F156" s="715"/>
      <c r="G156" s="715"/>
      <c r="H156" s="715"/>
      <c r="I156" s="715"/>
      <c r="J156" s="715"/>
      <c r="K156" s="715"/>
    </row>
    <row r="157" spans="1:11" x14ac:dyDescent="0.2">
      <c r="A157" s="718" t="s">
        <v>303</v>
      </c>
      <c r="B157" s="718"/>
      <c r="C157" s="718"/>
      <c r="D157" s="715"/>
      <c r="E157" s="715"/>
      <c r="F157" s="715"/>
      <c r="G157" s="715"/>
      <c r="H157" s="715"/>
      <c r="I157" s="715"/>
      <c r="J157" s="715"/>
      <c r="K157" s="715"/>
    </row>
    <row r="158" spans="1:11" ht="15" x14ac:dyDescent="0.25">
      <c r="A158" s="718" t="s">
        <v>9</v>
      </c>
      <c r="B158" s="718"/>
      <c r="C158" s="718"/>
      <c r="D158" s="714" t="s">
        <v>700</v>
      </c>
      <c r="E158" s="714" t="s">
        <v>701</v>
      </c>
      <c r="F158" s="714" t="s">
        <v>702</v>
      </c>
      <c r="G158" s="714" t="s">
        <v>703</v>
      </c>
      <c r="H158" s="714" t="s">
        <v>704</v>
      </c>
      <c r="I158" s="714" t="s">
        <v>705</v>
      </c>
      <c r="J158" s="714" t="s">
        <v>706</v>
      </c>
      <c r="K158" s="714" t="s">
        <v>707</v>
      </c>
    </row>
    <row r="159" spans="1:11" ht="142.5" x14ac:dyDescent="0.2">
      <c r="A159" s="718" t="s">
        <v>335</v>
      </c>
      <c r="B159" s="717" t="s">
        <v>745</v>
      </c>
      <c r="C159" s="717" t="s">
        <v>746</v>
      </c>
      <c r="D159" s="715">
        <f t="shared" ref="D159:K159" si="4">(40000/2080)*45/60*5000000</f>
        <v>72115384.615384623</v>
      </c>
      <c r="E159" s="715">
        <f t="shared" si="4"/>
        <v>72115384.615384623</v>
      </c>
      <c r="F159" s="715">
        <f t="shared" si="4"/>
        <v>72115384.615384623</v>
      </c>
      <c r="G159" s="715">
        <f t="shared" si="4"/>
        <v>72115384.615384623</v>
      </c>
      <c r="H159" s="715">
        <f t="shared" si="4"/>
        <v>72115384.615384623</v>
      </c>
      <c r="I159" s="715">
        <f t="shared" si="4"/>
        <v>72115384.615384623</v>
      </c>
      <c r="J159" s="715">
        <f t="shared" si="4"/>
        <v>72115384.615384623</v>
      </c>
      <c r="K159" s="715">
        <f t="shared" si="4"/>
        <v>72115384.615384623</v>
      </c>
    </row>
    <row r="160" spans="1:11" x14ac:dyDescent="0.2">
      <c r="A160" s="718"/>
      <c r="B160" s="718"/>
      <c r="C160" s="718"/>
      <c r="D160" s="715"/>
      <c r="E160" s="715"/>
      <c r="F160" s="715"/>
      <c r="G160" s="715"/>
      <c r="H160" s="715"/>
      <c r="I160" s="715"/>
      <c r="J160" s="715"/>
      <c r="K160" s="715"/>
    </row>
    <row r="161" spans="1:11" x14ac:dyDescent="0.2">
      <c r="A161" s="718" t="s">
        <v>336</v>
      </c>
      <c r="B161" s="718"/>
      <c r="C161" s="718"/>
      <c r="D161" s="715"/>
      <c r="E161" s="715"/>
      <c r="F161" s="715"/>
      <c r="G161" s="715"/>
      <c r="H161" s="715"/>
      <c r="I161" s="715"/>
      <c r="J161" s="715"/>
      <c r="K161" s="715"/>
    </row>
    <row r="162" spans="1:11" x14ac:dyDescent="0.2">
      <c r="A162" s="718" t="s">
        <v>319</v>
      </c>
      <c r="B162" s="718"/>
      <c r="C162" s="718"/>
      <c r="D162" s="715"/>
      <c r="E162" s="715"/>
      <c r="F162" s="715"/>
      <c r="G162" s="715"/>
      <c r="H162" s="715"/>
      <c r="I162" s="715"/>
      <c r="J162" s="715"/>
      <c r="K162" s="715"/>
    </row>
    <row r="163" spans="1:11" ht="57" x14ac:dyDescent="0.2">
      <c r="A163" s="718" t="s">
        <v>11</v>
      </c>
      <c r="B163" s="717" t="s">
        <v>744</v>
      </c>
      <c r="C163" s="717" t="s">
        <v>743</v>
      </c>
      <c r="D163" s="715">
        <f>5000000*0.25*3.05</f>
        <v>3812500</v>
      </c>
      <c r="E163" s="715">
        <f t="shared" ref="E163:K163" si="5">5000000*0.25*3.05</f>
        <v>3812500</v>
      </c>
      <c r="F163" s="715">
        <f t="shared" si="5"/>
        <v>3812500</v>
      </c>
      <c r="G163" s="715">
        <f t="shared" si="5"/>
        <v>3812500</v>
      </c>
      <c r="H163" s="715">
        <f t="shared" si="5"/>
        <v>3812500</v>
      </c>
      <c r="I163" s="715">
        <f t="shared" si="5"/>
        <v>3812500</v>
      </c>
      <c r="J163" s="715">
        <f t="shared" si="5"/>
        <v>3812500</v>
      </c>
      <c r="K163" s="715">
        <f t="shared" si="5"/>
        <v>3812500</v>
      </c>
    </row>
    <row r="164" spans="1:11" x14ac:dyDescent="0.2">
      <c r="A164" s="718" t="s">
        <v>11</v>
      </c>
      <c r="B164" s="718"/>
      <c r="C164" s="718"/>
      <c r="D164" s="715"/>
      <c r="E164" s="715"/>
      <c r="F164" s="715"/>
      <c r="G164" s="715"/>
      <c r="H164" s="715"/>
      <c r="I164" s="715"/>
      <c r="J164" s="715"/>
      <c r="K164" s="715"/>
    </row>
    <row r="165" spans="1:11" x14ac:dyDescent="0.2">
      <c r="A165" s="718" t="s">
        <v>11</v>
      </c>
      <c r="B165" s="718"/>
      <c r="C165" s="718"/>
      <c r="D165" s="715"/>
      <c r="E165" s="715"/>
      <c r="F165" s="715"/>
      <c r="G165" s="715"/>
      <c r="H165" s="715"/>
      <c r="I165" s="715"/>
      <c r="J165" s="715"/>
      <c r="K165" s="715"/>
    </row>
    <row r="166" spans="1:11" x14ac:dyDescent="0.2">
      <c r="A166" s="718" t="s">
        <v>11</v>
      </c>
      <c r="B166" s="718"/>
      <c r="C166" s="718"/>
      <c r="D166" s="715"/>
      <c r="E166" s="715"/>
      <c r="F166" s="715"/>
      <c r="G166" s="715"/>
      <c r="H166" s="715"/>
      <c r="I166" s="715"/>
      <c r="J166" s="715"/>
      <c r="K166" s="715"/>
    </row>
    <row r="167" spans="1:11" x14ac:dyDescent="0.2">
      <c r="A167" s="718"/>
      <c r="B167" s="718"/>
      <c r="C167" s="718"/>
      <c r="D167" s="715"/>
      <c r="E167" s="715"/>
      <c r="F167" s="715"/>
      <c r="G167" s="715"/>
      <c r="H167" s="715"/>
      <c r="I167" s="715"/>
      <c r="J167" s="715"/>
      <c r="K167" s="715"/>
    </row>
    <row r="168" spans="1:11" x14ac:dyDescent="0.2">
      <c r="A168" s="718" t="s">
        <v>192</v>
      </c>
      <c r="B168" s="718"/>
      <c r="C168" s="718"/>
      <c r="D168" s="715"/>
      <c r="E168" s="715"/>
      <c r="F168" s="715"/>
      <c r="G168" s="715"/>
      <c r="H168" s="715"/>
      <c r="I168" s="715"/>
      <c r="J168" s="715"/>
      <c r="K168" s="715"/>
    </row>
    <row r="169" spans="1:11" x14ac:dyDescent="0.2">
      <c r="A169" s="718" t="s">
        <v>324</v>
      </c>
      <c r="B169" s="718"/>
      <c r="C169" s="718"/>
      <c r="D169" s="715"/>
      <c r="E169" s="715"/>
      <c r="F169" s="715"/>
      <c r="G169" s="715"/>
      <c r="H169" s="715"/>
      <c r="I169" s="715"/>
      <c r="J169" s="715"/>
      <c r="K169" s="715"/>
    </row>
    <row r="170" spans="1:11" x14ac:dyDescent="0.2">
      <c r="A170" s="718" t="s">
        <v>325</v>
      </c>
      <c r="B170" s="718"/>
      <c r="C170" s="718"/>
      <c r="D170" s="715"/>
      <c r="E170" s="715"/>
      <c r="F170" s="715"/>
      <c r="G170" s="715"/>
      <c r="H170" s="715"/>
      <c r="I170" s="715"/>
      <c r="J170" s="715"/>
      <c r="K170" s="715"/>
    </row>
    <row r="171" spans="1:11" x14ac:dyDescent="0.2">
      <c r="A171" s="718" t="s">
        <v>323</v>
      </c>
      <c r="B171" s="718"/>
      <c r="C171" s="718"/>
      <c r="D171" s="715"/>
      <c r="E171" s="715"/>
      <c r="F171" s="715"/>
      <c r="G171" s="715"/>
      <c r="H171" s="715"/>
      <c r="I171" s="715"/>
      <c r="J171" s="715"/>
      <c r="K171" s="715"/>
    </row>
    <row r="172" spans="1:11" x14ac:dyDescent="0.2">
      <c r="A172" s="718" t="s">
        <v>326</v>
      </c>
      <c r="B172" s="718"/>
      <c r="C172" s="718"/>
      <c r="D172" s="715"/>
      <c r="E172" s="715"/>
      <c r="F172" s="715"/>
      <c r="G172" s="715"/>
      <c r="H172" s="715"/>
      <c r="I172" s="715"/>
      <c r="J172" s="715"/>
      <c r="K172" s="715"/>
    </row>
    <row r="173" spans="1:11" x14ac:dyDescent="0.2">
      <c r="A173" s="718" t="s">
        <v>314</v>
      </c>
      <c r="B173" s="718"/>
      <c r="C173" s="718"/>
      <c r="D173" s="715"/>
      <c r="E173" s="715"/>
      <c r="F173" s="715"/>
      <c r="G173" s="715"/>
      <c r="H173" s="715"/>
      <c r="I173" s="715"/>
      <c r="J173" s="715"/>
      <c r="K173" s="715"/>
    </row>
    <row r="174" spans="1:11" x14ac:dyDescent="0.2">
      <c r="A174" s="718" t="s">
        <v>314</v>
      </c>
      <c r="B174" s="718"/>
      <c r="C174" s="718"/>
      <c r="D174" s="715"/>
      <c r="E174" s="715"/>
      <c r="F174" s="715"/>
      <c r="G174" s="715"/>
      <c r="H174" s="715"/>
      <c r="I174" s="715"/>
      <c r="J174" s="715"/>
      <c r="K174" s="715"/>
    </row>
    <row r="175" spans="1:11" x14ac:dyDescent="0.2">
      <c r="A175" s="718" t="s">
        <v>314</v>
      </c>
      <c r="B175" s="718"/>
      <c r="C175" s="718"/>
      <c r="D175" s="715"/>
      <c r="E175" s="715"/>
      <c r="F175" s="715"/>
      <c r="G175" s="715"/>
      <c r="H175" s="715"/>
      <c r="I175" s="715"/>
      <c r="J175" s="715"/>
      <c r="K175" s="715"/>
    </row>
    <row r="176" spans="1:11" x14ac:dyDescent="0.2">
      <c r="A176" s="718" t="s">
        <v>314</v>
      </c>
      <c r="B176" s="718"/>
      <c r="C176" s="718"/>
      <c r="D176" s="715"/>
      <c r="E176" s="715"/>
      <c r="F176" s="715"/>
      <c r="G176" s="715"/>
      <c r="H176" s="715"/>
      <c r="I176" s="715"/>
      <c r="J176" s="715"/>
      <c r="K176" s="715"/>
    </row>
    <row r="177" spans="1:11" x14ac:dyDescent="0.2">
      <c r="A177" s="718"/>
      <c r="B177" s="718"/>
      <c r="C177" s="718"/>
      <c r="D177" s="715"/>
      <c r="E177" s="715"/>
      <c r="F177" s="715"/>
      <c r="G177" s="715"/>
      <c r="H177" s="715"/>
      <c r="I177" s="715"/>
      <c r="J177" s="715"/>
      <c r="K177" s="715"/>
    </row>
    <row r="178" spans="1:11" x14ac:dyDescent="0.2">
      <c r="A178" s="718" t="s">
        <v>193</v>
      </c>
      <c r="B178" s="718"/>
      <c r="C178" s="718"/>
      <c r="D178" s="715"/>
      <c r="E178" s="715"/>
      <c r="F178" s="715"/>
      <c r="G178" s="715"/>
      <c r="H178" s="715"/>
      <c r="I178" s="715"/>
      <c r="J178" s="715"/>
      <c r="K178" s="715"/>
    </row>
    <row r="179" spans="1:11" x14ac:dyDescent="0.2">
      <c r="A179" s="718" t="s">
        <v>190</v>
      </c>
      <c r="B179" s="718"/>
      <c r="C179" s="718"/>
      <c r="D179" s="715"/>
      <c r="E179" s="715"/>
      <c r="F179" s="715"/>
      <c r="G179" s="715"/>
      <c r="H179" s="715"/>
      <c r="I179" s="715"/>
      <c r="J179" s="715"/>
      <c r="K179" s="715"/>
    </row>
    <row r="180" spans="1:11" x14ac:dyDescent="0.2">
      <c r="A180" s="718" t="s">
        <v>190</v>
      </c>
      <c r="B180" s="718"/>
      <c r="C180" s="718"/>
      <c r="D180" s="715"/>
      <c r="E180" s="715"/>
      <c r="F180" s="715"/>
      <c r="G180" s="715"/>
      <c r="H180" s="715"/>
      <c r="I180" s="715"/>
      <c r="J180" s="715"/>
      <c r="K180" s="715"/>
    </row>
    <row r="181" spans="1:11" x14ac:dyDescent="0.2">
      <c r="A181" s="718" t="s">
        <v>190</v>
      </c>
      <c r="B181" s="718"/>
      <c r="C181" s="718"/>
      <c r="D181" s="715"/>
      <c r="E181" s="715"/>
      <c r="F181" s="715"/>
      <c r="G181" s="715"/>
      <c r="H181" s="715"/>
      <c r="I181" s="715"/>
      <c r="J181" s="715"/>
      <c r="K181" s="715"/>
    </row>
    <row r="182" spans="1:11" x14ac:dyDescent="0.2">
      <c r="A182" s="718" t="s">
        <v>190</v>
      </c>
      <c r="B182" s="718"/>
      <c r="C182" s="718"/>
      <c r="D182" s="715"/>
      <c r="E182" s="715"/>
      <c r="F182" s="715"/>
      <c r="G182" s="715"/>
      <c r="H182" s="715"/>
      <c r="I182" s="715"/>
      <c r="J182" s="715"/>
      <c r="K182" s="715"/>
    </row>
    <row r="183" spans="1:11" x14ac:dyDescent="0.2">
      <c r="A183" s="718" t="s">
        <v>190</v>
      </c>
      <c r="B183" s="718"/>
      <c r="C183" s="718"/>
      <c r="D183" s="715"/>
      <c r="E183" s="715"/>
      <c r="F183" s="715"/>
      <c r="G183" s="715"/>
      <c r="H183" s="715"/>
      <c r="I183" s="715"/>
      <c r="J183" s="715"/>
      <c r="K183" s="715"/>
    </row>
    <row r="184" spans="1:11" x14ac:dyDescent="0.2">
      <c r="A184" s="718"/>
      <c r="B184" s="718"/>
      <c r="C184" s="718"/>
      <c r="D184" s="715"/>
      <c r="E184" s="715"/>
      <c r="F184" s="715"/>
      <c r="G184" s="715"/>
      <c r="H184" s="715"/>
      <c r="I184" s="715"/>
      <c r="J184" s="715"/>
      <c r="K184" s="715"/>
    </row>
    <row r="185" spans="1:11" x14ac:dyDescent="0.2">
      <c r="A185" s="718"/>
      <c r="B185" s="718"/>
      <c r="C185" s="718"/>
      <c r="D185" s="715"/>
      <c r="E185" s="715"/>
      <c r="F185" s="715"/>
      <c r="G185" s="715"/>
      <c r="H185" s="715"/>
      <c r="I185" s="715"/>
      <c r="J185" s="715"/>
      <c r="K185" s="715"/>
    </row>
    <row r="186" spans="1:11" x14ac:dyDescent="0.2">
      <c r="A186" s="718"/>
      <c r="B186" s="718"/>
      <c r="C186" s="718"/>
      <c r="D186" s="715"/>
      <c r="E186" s="715"/>
      <c r="F186" s="715"/>
      <c r="G186" s="715"/>
      <c r="H186" s="715"/>
      <c r="I186" s="715"/>
      <c r="J186" s="715"/>
      <c r="K186" s="715"/>
    </row>
    <row r="187" spans="1:11" x14ac:dyDescent="0.2">
      <c r="A187" s="718"/>
      <c r="B187" s="718"/>
      <c r="C187" s="718"/>
      <c r="D187" s="715"/>
      <c r="E187" s="715"/>
      <c r="F187" s="715"/>
      <c r="G187" s="715"/>
      <c r="H187" s="715"/>
      <c r="I187" s="715"/>
      <c r="J187" s="715"/>
      <c r="K187" s="715"/>
    </row>
    <row r="188" spans="1:11" x14ac:dyDescent="0.2">
      <c r="A188" s="718"/>
      <c r="D188" s="715"/>
      <c r="E188" s="715"/>
      <c r="F188" s="715"/>
      <c r="G188" s="715"/>
      <c r="H188" s="715"/>
      <c r="I188" s="715"/>
      <c r="J188" s="715"/>
      <c r="K188" s="715"/>
    </row>
    <row r="189" spans="1:11" x14ac:dyDescent="0.2">
      <c r="A189" s="718"/>
      <c r="D189" s="715"/>
      <c r="E189" s="715"/>
      <c r="F189" s="715"/>
      <c r="G189" s="715"/>
      <c r="H189" s="715"/>
      <c r="I189" s="715"/>
      <c r="J189" s="715"/>
      <c r="K189" s="715"/>
    </row>
    <row r="190" spans="1:11" x14ac:dyDescent="0.2">
      <c r="A190" s="718"/>
      <c r="D190" s="715"/>
      <c r="E190" s="715"/>
      <c r="F190" s="715"/>
      <c r="G190" s="715"/>
      <c r="H190" s="715"/>
      <c r="I190" s="715"/>
      <c r="J190" s="715"/>
      <c r="K190" s="715"/>
    </row>
    <row r="191" spans="1:11" x14ac:dyDescent="0.2">
      <c r="A191" s="718"/>
      <c r="D191" s="715"/>
      <c r="E191" s="715"/>
      <c r="F191" s="715"/>
      <c r="G191" s="715"/>
      <c r="H191" s="715"/>
      <c r="I191" s="715"/>
      <c r="J191" s="715"/>
      <c r="K191" s="715"/>
    </row>
    <row r="192" spans="1:11" x14ac:dyDescent="0.2">
      <c r="A192" s="718"/>
      <c r="D192" s="715"/>
      <c r="E192" s="715"/>
      <c r="F192" s="715"/>
      <c r="G192" s="715"/>
      <c r="H192" s="715"/>
      <c r="I192" s="715"/>
      <c r="J192" s="715"/>
      <c r="K192" s="715"/>
    </row>
    <row r="193" spans="1:11" x14ac:dyDescent="0.2">
      <c r="A193" s="718"/>
      <c r="D193" s="715"/>
      <c r="E193" s="715"/>
      <c r="F193" s="715"/>
      <c r="G193" s="715"/>
      <c r="H193" s="715"/>
      <c r="I193" s="715"/>
      <c r="J193" s="715"/>
      <c r="K193" s="715"/>
    </row>
    <row r="194" spans="1:11" x14ac:dyDescent="0.2">
      <c r="A194" s="718"/>
      <c r="D194" s="715"/>
      <c r="E194" s="715"/>
      <c r="F194" s="715"/>
      <c r="G194" s="715"/>
      <c r="H194" s="715"/>
      <c r="I194" s="715"/>
      <c r="J194" s="715"/>
      <c r="K194" s="715"/>
    </row>
    <row r="195" spans="1:11" x14ac:dyDescent="0.2">
      <c r="A195" s="718"/>
      <c r="D195" s="715"/>
      <c r="E195" s="715"/>
      <c r="F195" s="715"/>
      <c r="G195" s="715"/>
      <c r="H195" s="715"/>
      <c r="I195" s="715"/>
      <c r="J195" s="715"/>
      <c r="K195" s="715"/>
    </row>
    <row r="196" spans="1:11" x14ac:dyDescent="0.2">
      <c r="A196" s="718"/>
    </row>
    <row r="197" spans="1:11" x14ac:dyDescent="0.2">
      <c r="A197" s="718"/>
    </row>
    <row r="198" spans="1:11" x14ac:dyDescent="0.2">
      <c r="A198" s="718"/>
    </row>
    <row r="199" spans="1:11" x14ac:dyDescent="0.2">
      <c r="A199" s="718"/>
    </row>
    <row r="200" spans="1:11" x14ac:dyDescent="0.2">
      <c r="A200" s="718"/>
    </row>
    <row r="201" spans="1:11" x14ac:dyDescent="0.2">
      <c r="A201" s="718"/>
    </row>
    <row r="202" spans="1:11" x14ac:dyDescent="0.2">
      <c r="A202" s="718"/>
    </row>
    <row r="203" spans="1:11" x14ac:dyDescent="0.2">
      <c r="A203" s="718"/>
    </row>
    <row r="204" spans="1:11" x14ac:dyDescent="0.2">
      <c r="A204" s="718"/>
    </row>
    <row r="205" spans="1:11" x14ac:dyDescent="0.2">
      <c r="A205" s="718"/>
    </row>
    <row r="206" spans="1:11" x14ac:dyDescent="0.2">
      <c r="A206" s="718"/>
    </row>
    <row r="207" spans="1:11" x14ac:dyDescent="0.2">
      <c r="A207" s="718"/>
    </row>
    <row r="208" spans="1:11" x14ac:dyDescent="0.2">
      <c r="A208" s="718"/>
    </row>
    <row r="209" spans="1:1" x14ac:dyDescent="0.2">
      <c r="A209" s="718"/>
    </row>
    <row r="210" spans="1:1" x14ac:dyDescent="0.2">
      <c r="A210" s="718"/>
    </row>
    <row r="211" spans="1:1" x14ac:dyDescent="0.2">
      <c r="A211" s="718"/>
    </row>
    <row r="212" spans="1:1" x14ac:dyDescent="0.2">
      <c r="A212" s="718"/>
    </row>
    <row r="213" spans="1:1" x14ac:dyDescent="0.2">
      <c r="A213" s="718"/>
    </row>
    <row r="214" spans="1:1" x14ac:dyDescent="0.2">
      <c r="A214" s="718"/>
    </row>
    <row r="215" spans="1:1" x14ac:dyDescent="0.2">
      <c r="A215" s="718"/>
    </row>
    <row r="216" spans="1:1" x14ac:dyDescent="0.2">
      <c r="A216" s="718"/>
    </row>
    <row r="217" spans="1:1" x14ac:dyDescent="0.2">
      <c r="A217" s="718"/>
    </row>
    <row r="218" spans="1:1" x14ac:dyDescent="0.2">
      <c r="A218" s="718"/>
    </row>
    <row r="219" spans="1:1" x14ac:dyDescent="0.2">
      <c r="A219" s="718"/>
    </row>
    <row r="220" spans="1:1" x14ac:dyDescent="0.2">
      <c r="A220" s="718"/>
    </row>
    <row r="221" spans="1:1" x14ac:dyDescent="0.2">
      <c r="A221" s="718"/>
    </row>
    <row r="222" spans="1:1" x14ac:dyDescent="0.2">
      <c r="A222" s="718"/>
    </row>
    <row r="223" spans="1:1" x14ac:dyDescent="0.2">
      <c r="A223" s="718"/>
    </row>
    <row r="224" spans="1:1" x14ac:dyDescent="0.2">
      <c r="A224" s="718"/>
    </row>
    <row r="225" spans="1:1" x14ac:dyDescent="0.2">
      <c r="A225" s="718"/>
    </row>
    <row r="226" spans="1:1" x14ac:dyDescent="0.2">
      <c r="A226" s="718"/>
    </row>
    <row r="227" spans="1:1" x14ac:dyDescent="0.2">
      <c r="A227" s="718"/>
    </row>
    <row r="228" spans="1:1" x14ac:dyDescent="0.2">
      <c r="A228" s="718"/>
    </row>
    <row r="229" spans="1:1" x14ac:dyDescent="0.2">
      <c r="A229" s="718"/>
    </row>
    <row r="230" spans="1:1" x14ac:dyDescent="0.2">
      <c r="A230" s="718"/>
    </row>
    <row r="231" spans="1:1" x14ac:dyDescent="0.2">
      <c r="A231" s="718"/>
    </row>
    <row r="232" spans="1:1" x14ac:dyDescent="0.2">
      <c r="A232" s="718"/>
    </row>
    <row r="233" spans="1:1" x14ac:dyDescent="0.2">
      <c r="A233" s="718"/>
    </row>
    <row r="234" spans="1:1" x14ac:dyDescent="0.2">
      <c r="A234" s="718"/>
    </row>
    <row r="235" spans="1:1" x14ac:dyDescent="0.2">
      <c r="A235" s="718"/>
    </row>
    <row r="236" spans="1:1" x14ac:dyDescent="0.2">
      <c r="A236" s="718"/>
    </row>
    <row r="237" spans="1:1" x14ac:dyDescent="0.2">
      <c r="A237" s="718"/>
    </row>
    <row r="238" spans="1:1" x14ac:dyDescent="0.2">
      <c r="A238" s="718"/>
    </row>
    <row r="239" spans="1:1" x14ac:dyDescent="0.2">
      <c r="A239" s="718"/>
    </row>
    <row r="240" spans="1:1" x14ac:dyDescent="0.2">
      <c r="A240" s="718"/>
    </row>
    <row r="241" spans="1:1" x14ac:dyDescent="0.2">
      <c r="A241" s="718"/>
    </row>
    <row r="242" spans="1:1" x14ac:dyDescent="0.2">
      <c r="A242" s="718"/>
    </row>
    <row r="243" spans="1:1" x14ac:dyDescent="0.2">
      <c r="A243" s="718"/>
    </row>
    <row r="244" spans="1:1" x14ac:dyDescent="0.2">
      <c r="A244" s="718"/>
    </row>
    <row r="245" spans="1:1" x14ac:dyDescent="0.2">
      <c r="A245" s="718"/>
    </row>
    <row r="246" spans="1:1" x14ac:dyDescent="0.2">
      <c r="A246" s="718"/>
    </row>
    <row r="247" spans="1:1" x14ac:dyDescent="0.2">
      <c r="A247" s="718"/>
    </row>
    <row r="248" spans="1:1" x14ac:dyDescent="0.2">
      <c r="A248" s="718"/>
    </row>
    <row r="249" spans="1:1" x14ac:dyDescent="0.2">
      <c r="A249" s="718"/>
    </row>
    <row r="250" spans="1:1" x14ac:dyDescent="0.2">
      <c r="A250" s="718"/>
    </row>
    <row r="251" spans="1:1" x14ac:dyDescent="0.2">
      <c r="A251" s="718"/>
    </row>
    <row r="252" spans="1:1" x14ac:dyDescent="0.2">
      <c r="A252" s="718"/>
    </row>
    <row r="253" spans="1:1" x14ac:dyDescent="0.2">
      <c r="A253" s="718"/>
    </row>
    <row r="254" spans="1:1" x14ac:dyDescent="0.2">
      <c r="A254" s="718"/>
    </row>
    <row r="255" spans="1:1" x14ac:dyDescent="0.2">
      <c r="A255" s="718"/>
    </row>
    <row r="256" spans="1:1" x14ac:dyDescent="0.2">
      <c r="A256" s="718"/>
    </row>
    <row r="257" spans="1:1" x14ac:dyDescent="0.2">
      <c r="A257" s="718"/>
    </row>
    <row r="258" spans="1:1" x14ac:dyDescent="0.2">
      <c r="A258" s="718"/>
    </row>
    <row r="259" spans="1:1" x14ac:dyDescent="0.2">
      <c r="A259" s="718"/>
    </row>
    <row r="260" spans="1:1" x14ac:dyDescent="0.2">
      <c r="A260" s="718"/>
    </row>
    <row r="261" spans="1:1" x14ac:dyDescent="0.2">
      <c r="A261" s="718"/>
    </row>
    <row r="262" spans="1:1" x14ac:dyDescent="0.2">
      <c r="A262" s="718"/>
    </row>
    <row r="263" spans="1:1" x14ac:dyDescent="0.2">
      <c r="A263" s="718"/>
    </row>
    <row r="264" spans="1:1" x14ac:dyDescent="0.2">
      <c r="A264" s="718"/>
    </row>
    <row r="265" spans="1:1" x14ac:dyDescent="0.2">
      <c r="A265" s="718"/>
    </row>
    <row r="266" spans="1:1" x14ac:dyDescent="0.2">
      <c r="A266" s="718"/>
    </row>
    <row r="267" spans="1:1" x14ac:dyDescent="0.2">
      <c r="A267" s="718"/>
    </row>
    <row r="268" spans="1:1" x14ac:dyDescent="0.2">
      <c r="A268" s="718"/>
    </row>
    <row r="269" spans="1:1" x14ac:dyDescent="0.2">
      <c r="A269" s="718"/>
    </row>
    <row r="270" spans="1:1" x14ac:dyDescent="0.2">
      <c r="A270" s="718"/>
    </row>
    <row r="271" spans="1:1" x14ac:dyDescent="0.2">
      <c r="A271" s="718"/>
    </row>
    <row r="272" spans="1:1" x14ac:dyDescent="0.2">
      <c r="A272" s="718"/>
    </row>
    <row r="273" spans="1:1" x14ac:dyDescent="0.2">
      <c r="A273" s="718"/>
    </row>
    <row r="274" spans="1:1" x14ac:dyDescent="0.2">
      <c r="A274" s="718"/>
    </row>
    <row r="275" spans="1:1" x14ac:dyDescent="0.2">
      <c r="A275" s="718"/>
    </row>
    <row r="276" spans="1:1" x14ac:dyDescent="0.2">
      <c r="A276" s="718"/>
    </row>
    <row r="277" spans="1:1" x14ac:dyDescent="0.2">
      <c r="A277" s="718"/>
    </row>
    <row r="278" spans="1:1" x14ac:dyDescent="0.2">
      <c r="A278" s="718"/>
    </row>
    <row r="279" spans="1:1" x14ac:dyDescent="0.2">
      <c r="A279" s="718"/>
    </row>
    <row r="280" spans="1:1" x14ac:dyDescent="0.2">
      <c r="A280" s="718"/>
    </row>
    <row r="281" spans="1:1" x14ac:dyDescent="0.2">
      <c r="A281" s="718"/>
    </row>
    <row r="282" spans="1:1" x14ac:dyDescent="0.2">
      <c r="A282" s="718"/>
    </row>
    <row r="283" spans="1:1" x14ac:dyDescent="0.2">
      <c r="A283" s="718"/>
    </row>
    <row r="284" spans="1:1" x14ac:dyDescent="0.2">
      <c r="A284" s="718"/>
    </row>
    <row r="285" spans="1:1" x14ac:dyDescent="0.2">
      <c r="A285" s="718"/>
    </row>
    <row r="286" spans="1:1" x14ac:dyDescent="0.2">
      <c r="A286" s="718"/>
    </row>
    <row r="287" spans="1:1" x14ac:dyDescent="0.2">
      <c r="A287" s="718"/>
    </row>
    <row r="288" spans="1:1" x14ac:dyDescent="0.2">
      <c r="A288" s="718"/>
    </row>
    <row r="289" spans="1:1" x14ac:dyDescent="0.2">
      <c r="A289" s="718"/>
    </row>
    <row r="290" spans="1:1" x14ac:dyDescent="0.2">
      <c r="A290" s="718"/>
    </row>
    <row r="291" spans="1:1" x14ac:dyDescent="0.2">
      <c r="A291" s="718"/>
    </row>
    <row r="292" spans="1:1" x14ac:dyDescent="0.2">
      <c r="A292" s="718"/>
    </row>
    <row r="293" spans="1:1" x14ac:dyDescent="0.2">
      <c r="A293" s="718"/>
    </row>
    <row r="294" spans="1:1" x14ac:dyDescent="0.2">
      <c r="A294" s="718"/>
    </row>
    <row r="295" spans="1:1" x14ac:dyDescent="0.2">
      <c r="A295" s="718"/>
    </row>
    <row r="296" spans="1:1" x14ac:dyDescent="0.2">
      <c r="A296" s="718"/>
    </row>
    <row r="297" spans="1:1" x14ac:dyDescent="0.2">
      <c r="A297" s="718"/>
    </row>
    <row r="298" spans="1:1" x14ac:dyDescent="0.2">
      <c r="A298" s="718"/>
    </row>
    <row r="299" spans="1:1" x14ac:dyDescent="0.2">
      <c r="A299" s="718"/>
    </row>
    <row r="300" spans="1:1" x14ac:dyDescent="0.2">
      <c r="A300" s="718"/>
    </row>
    <row r="301" spans="1:1" x14ac:dyDescent="0.2">
      <c r="A301" s="718"/>
    </row>
    <row r="302" spans="1:1" x14ac:dyDescent="0.2">
      <c r="A302" s="718"/>
    </row>
    <row r="303" spans="1:1" x14ac:dyDescent="0.2">
      <c r="A303" s="718"/>
    </row>
    <row r="304" spans="1:1" x14ac:dyDescent="0.2">
      <c r="A304" s="718"/>
    </row>
    <row r="305" spans="1:1" x14ac:dyDescent="0.2">
      <c r="A305" s="718"/>
    </row>
    <row r="306" spans="1:1" x14ac:dyDescent="0.2">
      <c r="A306" s="718"/>
    </row>
    <row r="307" spans="1:1" x14ac:dyDescent="0.2">
      <c r="A307" s="718"/>
    </row>
    <row r="308" spans="1:1" x14ac:dyDescent="0.2">
      <c r="A308" s="718"/>
    </row>
    <row r="309" spans="1:1" x14ac:dyDescent="0.2">
      <c r="A309" s="718"/>
    </row>
    <row r="310" spans="1:1" x14ac:dyDescent="0.2">
      <c r="A310" s="718"/>
    </row>
    <row r="311" spans="1:1" x14ac:dyDescent="0.2">
      <c r="A311" s="718"/>
    </row>
    <row r="312" spans="1:1" x14ac:dyDescent="0.2">
      <c r="A312" s="718"/>
    </row>
    <row r="313" spans="1:1" x14ac:dyDescent="0.2">
      <c r="A313" s="718"/>
    </row>
    <row r="314" spans="1:1" x14ac:dyDescent="0.2">
      <c r="A314" s="718"/>
    </row>
    <row r="315" spans="1:1" x14ac:dyDescent="0.2">
      <c r="A315" s="718"/>
    </row>
    <row r="316" spans="1:1" x14ac:dyDescent="0.2">
      <c r="A316" s="718"/>
    </row>
    <row r="317" spans="1:1" x14ac:dyDescent="0.2">
      <c r="A317" s="718"/>
    </row>
    <row r="318" spans="1:1" x14ac:dyDescent="0.2">
      <c r="A318" s="718"/>
    </row>
    <row r="319" spans="1:1" x14ac:dyDescent="0.2">
      <c r="A319" s="718"/>
    </row>
    <row r="320" spans="1:1" x14ac:dyDescent="0.2">
      <c r="A320" s="718"/>
    </row>
    <row r="321" spans="1:1" x14ac:dyDescent="0.2">
      <c r="A321" s="718"/>
    </row>
    <row r="322" spans="1:1" x14ac:dyDescent="0.2">
      <c r="A322" s="718"/>
    </row>
    <row r="323" spans="1:1" x14ac:dyDescent="0.2">
      <c r="A323" s="718"/>
    </row>
    <row r="324" spans="1:1" x14ac:dyDescent="0.2">
      <c r="A324" s="718"/>
    </row>
    <row r="325" spans="1:1" x14ac:dyDescent="0.2">
      <c r="A325" s="718"/>
    </row>
    <row r="326" spans="1:1" x14ac:dyDescent="0.2">
      <c r="A326" s="718"/>
    </row>
    <row r="327" spans="1:1" x14ac:dyDescent="0.2">
      <c r="A327" s="718"/>
    </row>
    <row r="328" spans="1:1" x14ac:dyDescent="0.2">
      <c r="A328" s="718"/>
    </row>
    <row r="329" spans="1:1" x14ac:dyDescent="0.2">
      <c r="A329" s="718"/>
    </row>
    <row r="330" spans="1:1" x14ac:dyDescent="0.2">
      <c r="A330" s="718"/>
    </row>
    <row r="331" spans="1:1" x14ac:dyDescent="0.2">
      <c r="A331" s="718"/>
    </row>
    <row r="332" spans="1:1" x14ac:dyDescent="0.2">
      <c r="A332" s="718"/>
    </row>
    <row r="333" spans="1:1" x14ac:dyDescent="0.2">
      <c r="A333" s="718"/>
    </row>
    <row r="334" spans="1:1" x14ac:dyDescent="0.2">
      <c r="A334" s="718"/>
    </row>
    <row r="335" spans="1:1" x14ac:dyDescent="0.2">
      <c r="A335" s="718"/>
    </row>
    <row r="336" spans="1:1" x14ac:dyDescent="0.2">
      <c r="A336" s="718"/>
    </row>
    <row r="337" spans="1:1" x14ac:dyDescent="0.2">
      <c r="A337" s="718"/>
    </row>
    <row r="338" spans="1:1" x14ac:dyDescent="0.2">
      <c r="A338" s="718"/>
    </row>
    <row r="339" spans="1:1" x14ac:dyDescent="0.2">
      <c r="A339" s="718"/>
    </row>
    <row r="340" spans="1:1" x14ac:dyDescent="0.2">
      <c r="A340" s="718"/>
    </row>
    <row r="341" spans="1:1" x14ac:dyDescent="0.2">
      <c r="A341" s="718"/>
    </row>
    <row r="342" spans="1:1" x14ac:dyDescent="0.2">
      <c r="A342" s="718"/>
    </row>
    <row r="343" spans="1:1" x14ac:dyDescent="0.2">
      <c r="A343" s="718"/>
    </row>
    <row r="344" spans="1:1" x14ac:dyDescent="0.2">
      <c r="A344" s="718"/>
    </row>
    <row r="345" spans="1:1" x14ac:dyDescent="0.2">
      <c r="A345" s="718"/>
    </row>
    <row r="346" spans="1:1" x14ac:dyDescent="0.2">
      <c r="A346" s="718"/>
    </row>
    <row r="347" spans="1:1" x14ac:dyDescent="0.2">
      <c r="A347" s="718"/>
    </row>
    <row r="348" spans="1:1" x14ac:dyDescent="0.2">
      <c r="A348" s="718"/>
    </row>
    <row r="349" spans="1:1" x14ac:dyDescent="0.2">
      <c r="A349" s="718"/>
    </row>
    <row r="350" spans="1:1" x14ac:dyDescent="0.2">
      <c r="A350" s="718"/>
    </row>
    <row r="351" spans="1:1" x14ac:dyDescent="0.2">
      <c r="A351" s="718"/>
    </row>
    <row r="352" spans="1:1" x14ac:dyDescent="0.2">
      <c r="A352" s="718"/>
    </row>
    <row r="353" spans="1:1" x14ac:dyDescent="0.2">
      <c r="A353" s="718"/>
    </row>
    <row r="354" spans="1:1" x14ac:dyDescent="0.2">
      <c r="A354" s="718"/>
    </row>
    <row r="355" spans="1:1" x14ac:dyDescent="0.2">
      <c r="A355" s="718"/>
    </row>
    <row r="356" spans="1:1" x14ac:dyDescent="0.2">
      <c r="A356" s="718"/>
    </row>
    <row r="357" spans="1:1" x14ac:dyDescent="0.2">
      <c r="A357" s="718"/>
    </row>
    <row r="358" spans="1:1" x14ac:dyDescent="0.2">
      <c r="A358" s="718"/>
    </row>
    <row r="359" spans="1:1" x14ac:dyDescent="0.2">
      <c r="A359" s="718"/>
    </row>
    <row r="360" spans="1:1" x14ac:dyDescent="0.2">
      <c r="A360" s="718"/>
    </row>
    <row r="361" spans="1:1" x14ac:dyDescent="0.2">
      <c r="A361" s="718"/>
    </row>
    <row r="362" spans="1:1" x14ac:dyDescent="0.2">
      <c r="A362" s="718"/>
    </row>
    <row r="363" spans="1:1" x14ac:dyDescent="0.2">
      <c r="A363" s="718"/>
    </row>
    <row r="364" spans="1:1" x14ac:dyDescent="0.2">
      <c r="A364" s="718"/>
    </row>
    <row r="365" spans="1:1" x14ac:dyDescent="0.2">
      <c r="A365" s="718"/>
    </row>
    <row r="366" spans="1:1" x14ac:dyDescent="0.2">
      <c r="A366" s="718"/>
    </row>
    <row r="367" spans="1:1" x14ac:dyDescent="0.2">
      <c r="A367" s="718"/>
    </row>
    <row r="368" spans="1:1" x14ac:dyDescent="0.2">
      <c r="A368" s="718"/>
    </row>
    <row r="369" spans="1:1" x14ac:dyDescent="0.2">
      <c r="A369" s="718"/>
    </row>
    <row r="370" spans="1:1" x14ac:dyDescent="0.2">
      <c r="A370" s="718"/>
    </row>
    <row r="371" spans="1:1" x14ac:dyDescent="0.2">
      <c r="A371" s="718"/>
    </row>
    <row r="372" spans="1:1" x14ac:dyDescent="0.2">
      <c r="A372" s="718"/>
    </row>
  </sheetData>
  <pageMargins left="0.5" right="0.5" top="0.65" bottom="0.65" header="0.3" footer="0.26"/>
  <pageSetup scale="99" fitToHeight="0" orientation="landscape" cellComments="asDisplayed" r:id="rId1"/>
  <headerFooter alignWithMargins="0">
    <oddHeader>&amp;L&amp;10[Agency/Organization Name]
[Project Name]&amp;R&amp;10BUSINESS CASE WORKBOOK 
[Version Number] [Revision Date mm/dd/yy]</oddHeader>
    <oddFooter>&amp;L&amp;10Based on DIR Document 10BC-W2-2&amp;C&amp;10&amp;K000000Page &amp;P of &amp;N&amp;R&amp;10Business Justification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C21"/>
  <sheetViews>
    <sheetView zoomScaleNormal="100" workbookViewId="0">
      <selection activeCell="A2" sqref="A2"/>
    </sheetView>
  </sheetViews>
  <sheetFormatPr defaultColWidth="8.75" defaultRowHeight="14.25" x14ac:dyDescent="0.2"/>
  <cols>
    <col min="1" max="1" width="7.375" style="692" customWidth="1"/>
    <col min="2" max="2" width="13.25" style="692" customWidth="1"/>
    <col min="3" max="3" width="97" style="692" customWidth="1"/>
    <col min="4" max="4" width="12.75" style="692" customWidth="1"/>
    <col min="5" max="5" width="11.25" style="692" customWidth="1"/>
    <col min="6" max="6" width="8.375" style="692" customWidth="1"/>
    <col min="7" max="16384" width="8.75" style="692"/>
  </cols>
  <sheetData>
    <row r="1" spans="1:3" s="711" customFormat="1" ht="35.450000000000003" customHeight="1" x14ac:dyDescent="0.2">
      <c r="A1" s="828" t="s">
        <v>741</v>
      </c>
      <c r="B1" s="829"/>
      <c r="C1" s="830"/>
    </row>
    <row r="2" spans="1:3" s="695" customFormat="1" ht="18" customHeight="1" x14ac:dyDescent="0.2">
      <c r="A2" s="699" t="s">
        <v>662</v>
      </c>
      <c r="B2" s="699" t="s">
        <v>663</v>
      </c>
      <c r="C2" s="696" t="s">
        <v>664</v>
      </c>
    </row>
    <row r="3" spans="1:3" s="694" customFormat="1" ht="33.6" customHeight="1" x14ac:dyDescent="0.2">
      <c r="A3" s="699">
        <v>2.2000000000000002</v>
      </c>
      <c r="B3" s="700">
        <v>41517</v>
      </c>
      <c r="C3" s="697" t="s">
        <v>670</v>
      </c>
    </row>
    <row r="4" spans="1:3" s="703" customFormat="1" ht="48.6" customHeight="1" x14ac:dyDescent="0.2">
      <c r="A4" s="701">
        <v>2.1</v>
      </c>
      <c r="B4" s="702">
        <v>41302</v>
      </c>
      <c r="C4" s="697" t="s">
        <v>669</v>
      </c>
    </row>
    <row r="5" spans="1:3" ht="38.450000000000003" customHeight="1" x14ac:dyDescent="0.2">
      <c r="A5" s="710" t="s">
        <v>666</v>
      </c>
      <c r="B5" s="700">
        <v>41100</v>
      </c>
      <c r="C5" s="264" t="s">
        <v>667</v>
      </c>
    </row>
    <row r="6" spans="1:3" ht="18" customHeight="1" x14ac:dyDescent="0.2">
      <c r="A6" s="699"/>
      <c r="B6" s="699"/>
      <c r="C6" s="698"/>
    </row>
    <row r="7" spans="1:3" ht="18" customHeight="1" x14ac:dyDescent="0.2">
      <c r="A7" s="699"/>
      <c r="B7" s="699"/>
      <c r="C7" s="698"/>
    </row>
    <row r="8" spans="1:3" ht="18" customHeight="1" x14ac:dyDescent="0.2">
      <c r="A8" s="699"/>
      <c r="B8" s="699"/>
      <c r="C8" s="698"/>
    </row>
    <row r="9" spans="1:3" ht="18" customHeight="1" x14ac:dyDescent="0.2">
      <c r="A9" s="699"/>
      <c r="B9" s="699"/>
      <c r="C9" s="698"/>
    </row>
    <row r="10" spans="1:3" ht="18" customHeight="1" x14ac:dyDescent="0.2">
      <c r="A10" s="699"/>
      <c r="B10" s="699"/>
      <c r="C10" s="698"/>
    </row>
    <row r="11" spans="1:3" ht="18" customHeight="1" x14ac:dyDescent="0.2">
      <c r="A11" s="699"/>
      <c r="B11" s="699"/>
      <c r="C11" s="698"/>
    </row>
    <row r="12" spans="1:3" ht="18" customHeight="1" x14ac:dyDescent="0.2">
      <c r="A12" s="699"/>
      <c r="B12" s="699"/>
      <c r="C12" s="698"/>
    </row>
    <row r="13" spans="1:3" ht="18" customHeight="1" x14ac:dyDescent="0.2">
      <c r="A13" s="699"/>
      <c r="B13" s="699"/>
      <c r="C13" s="698"/>
    </row>
    <row r="14" spans="1:3" ht="18" customHeight="1" x14ac:dyDescent="0.2">
      <c r="A14" s="699"/>
      <c r="B14" s="699"/>
      <c r="C14" s="698"/>
    </row>
    <row r="15" spans="1:3" ht="18" customHeight="1" x14ac:dyDescent="0.2">
      <c r="A15" s="699"/>
      <c r="B15" s="699"/>
      <c r="C15" s="698"/>
    </row>
    <row r="16" spans="1:3" x14ac:dyDescent="0.2">
      <c r="A16" s="693"/>
      <c r="B16" s="693"/>
      <c r="C16" s="693"/>
    </row>
    <row r="17" spans="1:3" x14ac:dyDescent="0.2">
      <c r="A17" s="693"/>
      <c r="B17" s="693"/>
      <c r="C17" s="693"/>
    </row>
    <row r="18" spans="1:3" x14ac:dyDescent="0.2">
      <c r="A18" s="693"/>
      <c r="B18" s="693"/>
      <c r="C18" s="693"/>
    </row>
    <row r="19" spans="1:3" x14ac:dyDescent="0.2">
      <c r="A19" s="693"/>
      <c r="B19" s="693"/>
      <c r="C19" s="693"/>
    </row>
    <row r="20" spans="1:3" x14ac:dyDescent="0.2">
      <c r="A20" s="693"/>
      <c r="B20" s="693"/>
      <c r="C20" s="693"/>
    </row>
    <row r="21" spans="1:3" x14ac:dyDescent="0.2">
      <c r="A21" s="693"/>
      <c r="B21" s="693"/>
      <c r="C21" s="693"/>
    </row>
  </sheetData>
  <sheetProtection password="CC7C" sheet="1" objects="1" scenarios="1"/>
  <mergeCells count="1">
    <mergeCell ref="A1:C1"/>
  </mergeCells>
  <pageMargins left="0.5" right="0.5" top="0.65" bottom="0.65" header="0.3" footer="0.26"/>
  <pageSetup scale="99" fitToHeight="0" orientation="landscape" cellComments="asDisplayed" r:id="rId1"/>
  <headerFooter alignWithMargins="0">
    <oddHeader>&amp;L&amp;10[Agency/Organization Name]
[Project Name]&amp;R&amp;10BUSINESS CASE WORKBOOK 
[Version Number] [Revision Date mm/dd/yy]</oddHeader>
    <oddFooter>&amp;L&amp;10Based on DIR Document 10BC-W2-2&amp;C&amp;10&amp;K000000Page &amp;P of &amp;N&amp;R&amp;10Business Justification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documentManagement>
    <PublishingExpirationDate xmlns="http://schemas.microsoft.com/sharepoint/v3" xsi:nil="true"/>
    <PublishingStartDate xmlns="http://schemas.microsoft.com/sharepoint/v3"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9E3335D654E2C409A0F69836470243C" ma:contentTypeVersion="1" ma:contentTypeDescription="Create a new document." ma:contentTypeScope="" ma:versionID="85c74bc133903f4a338ed030a3970f4b">
  <xsd:schema xmlns:xsd="http://www.w3.org/2001/XMLSchema" xmlns:p="http://schemas.microsoft.com/office/2006/metadata/properties" xmlns:ns1="http://schemas.microsoft.com/sharepoint/v3" targetNamespace="http://schemas.microsoft.com/office/2006/metadata/properties" ma:root="true" ma:fieldsID="37ea4635040393b035d4f388c0602850"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dms="http://schemas.microsoft.com/office/2006/documentManagement/types" targetNamespace="http://schemas.microsoft.com/sharepoint/v3" elementFormDefault="qualified">
    <xsd:import namespace="http://schemas.microsoft.com/office/2006/documentManagement/types"/>
    <xsd:element name="PublishingStartDate" ma:index="8" nillable="true" ma:displayName="Scheduling Start Date" ma:description="" ma:hidden="true" ma:internalName="PublishingStartDate">
      <xsd:simpleType>
        <xsd:restriction base="dms:Unknown"/>
      </xsd:simpleType>
    </xsd:element>
    <xsd:element name="PublishingExpirationDate" ma:index="9" nillable="true" ma:displayName="Scheduling End Date" ma:description=""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62E4534-EA59-46B1-9619-A52F65E7772C}">
  <ds:schemaRefs>
    <ds:schemaRef ds:uri="http://schemas.microsoft.com/sharepoint/v3/contenttype/forms"/>
  </ds:schemaRefs>
</ds:datastoreItem>
</file>

<file path=customXml/itemProps2.xml><?xml version="1.0" encoding="utf-8"?>
<ds:datastoreItem xmlns:ds="http://schemas.openxmlformats.org/officeDocument/2006/customXml" ds:itemID="{8B868D3F-BD7F-4494-9D72-75F3EB2F44FF}">
  <ds:schemaRefs>
    <ds:schemaRef ds:uri="http://schemas.microsoft.com/office/2006/metadata/longProperties"/>
  </ds:schemaRefs>
</ds:datastoreItem>
</file>

<file path=customXml/itemProps3.xml><?xml version="1.0" encoding="utf-8"?>
<ds:datastoreItem xmlns:ds="http://schemas.openxmlformats.org/officeDocument/2006/customXml" ds:itemID="{CDE55A46-40B6-46D7-8CD6-674F5C333C84}">
  <ds:schemaRefs>
    <ds:schemaRef ds:uri="http://www.w3.org/XML/1998/namespace"/>
    <ds:schemaRef ds:uri="http://schemas.microsoft.com/office/2006/metadata/properties"/>
    <ds:schemaRef ds:uri="http://schemas.openxmlformats.org/package/2006/metadata/core-properties"/>
    <ds:schemaRef ds:uri="http://purl.org/dc/dcmitype/"/>
    <ds:schemaRef ds:uri="http://purl.org/dc/elements/1.1/"/>
    <ds:schemaRef ds:uri="http://schemas.microsoft.com/office/2006/documentManagement/types"/>
    <ds:schemaRef ds:uri="http://purl.org/dc/terms/"/>
    <ds:schemaRef ds:uri="http://schemas.microsoft.com/sharepoint/v3"/>
  </ds:schemaRefs>
</ds:datastoreItem>
</file>

<file path=customXml/itemProps4.xml><?xml version="1.0" encoding="utf-8"?>
<ds:datastoreItem xmlns:ds="http://schemas.openxmlformats.org/officeDocument/2006/customXml" ds:itemID="{B3ED57FD-645C-4B2A-81B4-66FD6A9529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16</vt:i4>
      </vt:variant>
    </vt:vector>
  </HeadingPairs>
  <TitlesOfParts>
    <vt:vector size="26" baseType="lpstr">
      <vt:lpstr>Instructions</vt:lpstr>
      <vt:lpstr>Cost_Analysis</vt:lpstr>
      <vt:lpstr>Quantitative_Benefit_Analysis</vt:lpstr>
      <vt:lpstr>Evaluation_Factors</vt:lpstr>
      <vt:lpstr>Cost-Benefit_Summary</vt:lpstr>
      <vt:lpstr>Financial_Analysis</vt:lpstr>
      <vt:lpstr>Selection_Results</vt:lpstr>
      <vt:lpstr>Cost_Mapping</vt:lpstr>
      <vt:lpstr>Additional_Agency_Information</vt:lpstr>
      <vt:lpstr>Version History</vt:lpstr>
      <vt:lpstr>'Cost-Benefit_Summary'!Budget18</vt:lpstr>
      <vt:lpstr>'Cost-Benefit_Summary'!Budget51</vt:lpstr>
      <vt:lpstr>'Cost-Benefit_Summary'!Budget56</vt:lpstr>
      <vt:lpstr>interest</vt:lpstr>
      <vt:lpstr>Payback_C</vt:lpstr>
      <vt:lpstr>Payback_G</vt:lpstr>
      <vt:lpstr>Additional_Agency_Information!Print_Area</vt:lpstr>
      <vt:lpstr>'Cost-Benefit_Summary'!Print_Area</vt:lpstr>
      <vt:lpstr>Evaluation_Factors!Print_Area</vt:lpstr>
      <vt:lpstr>Financial_Analysis!Print_Area</vt:lpstr>
      <vt:lpstr>Instructions!Print_Area</vt:lpstr>
      <vt:lpstr>Quantitative_Benefit_Analysis!Print_Area</vt:lpstr>
      <vt:lpstr>Cost_Analysis!Print_Titles</vt:lpstr>
      <vt:lpstr>Cost_Mapping!Print_Titles</vt:lpstr>
      <vt:lpstr>Evaluation_Factors!Print_Titles</vt:lpstr>
      <vt:lpstr>Instructions!Print_Titles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Business Case Workbook</dc:title>
  <dc:subject>Texas Project Delivery Framework - Business Justification Review Gate</dc:subject>
  <dc:creator>Texas Department of Information Resources</dc:creator>
  <dc:description>Workbook for preparing a Business Case</dc:description>
  <cp:lastModifiedBy>Paige Heard</cp:lastModifiedBy>
  <cp:lastPrinted>2013-08-28T17:11:30Z</cp:lastPrinted>
  <dcterms:created xsi:type="dcterms:W3CDTF">2004-10-28T15:22:42Z</dcterms:created>
  <dcterms:modified xsi:type="dcterms:W3CDTF">2013-12-03T15:57:57Z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Texas DIR Document</vt:lpwstr>
  </property>
  <property fmtid="{D5CDD505-2E9C-101B-9397-08002B2CF9AE}" pid="3" name="DocumentStatus">
    <vt:lpwstr>Active</vt:lpwstr>
  </property>
  <property fmtid="{D5CDD505-2E9C-101B-9397-08002B2CF9AE}" pid="4" name="DocumentKeywords">
    <vt:lpwstr>Framework business case workbook, DIR business case workbook</vt:lpwstr>
  </property>
  <property fmtid="{D5CDD505-2E9C-101B-9397-08002B2CF9AE}" pid="5" name="DocumentPublicationDate">
    <vt:lpwstr>2010-12-21T06:00:00+00:00</vt:lpwstr>
  </property>
  <property fmtid="{D5CDD505-2E9C-101B-9397-08002B2CF9AE}" pid="6" name="DocumentType">
    <vt:lpwstr>Template</vt:lpwstr>
  </property>
  <property fmtid="{D5CDD505-2E9C-101B-9397-08002B2CF9AE}" pid="7" name="TSLACSubject">
    <vt:lpwstr>;#Government&gt;Government information;#Government&gt;State governments;#</vt:lpwstr>
  </property>
  <property fmtid="{D5CDD505-2E9C-101B-9397-08002B2CF9AE}" pid="8" name="DocumentAuthor">
    <vt:lpwstr>Rose Wheeler</vt:lpwstr>
  </property>
  <property fmtid="{D5CDD505-2E9C-101B-9397-08002B2CF9AE}" pid="9" name="ContentTypeId">
    <vt:lpwstr>0x01010059E3335D654E2C409A0F69836470243C</vt:lpwstr>
  </property>
  <property fmtid="{D5CDD505-2E9C-101B-9397-08002B2CF9AE}" pid="10" name="DIRDepartment">
    <vt:lpwstr>3</vt:lpwstr>
  </property>
  <property fmtid="{D5CDD505-2E9C-101B-9397-08002B2CF9AE}" pid="11" name="TSLACType">
    <vt:lpwstr>8</vt:lpwstr>
  </property>
</Properties>
</file>